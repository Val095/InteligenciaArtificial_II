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CONSOLIDADA" sheetId="1" r:id="rId4"/>
    <sheet state="visible" name="NOMINA" sheetId="2" r:id="rId5"/>
    <sheet state="visible" name="PERSONAL" sheetId="3" r:id="rId6"/>
    <sheet state="visible" name="RRHH" sheetId="4" r:id="rId7"/>
    <sheet state="visible" name="CONTRATACION" sheetId="5" r:id="rId8"/>
    <sheet state="visible" name="VARIABLES_MODELO" sheetId="6" r:id="rId9"/>
    <sheet state="visible" name="ANALISIS" sheetId="7" r:id="rId10"/>
    <sheet state="visible" name="SIMULADOR" sheetId="8" r:id="rId11"/>
    <sheet state="visible" name="DASHBOARD" sheetId="9" r:id="rId12"/>
    <sheet state="visible" name="DICCIONARIO_DATOS" sheetId="10" r:id="rId13"/>
    <sheet state="visible" name="METODOLOGIA" sheetId="11" r:id="rId14"/>
    <sheet state="visible" name="CONTROL_CALIDAD" sheetId="12" r:id="rId15"/>
  </sheets>
  <definedNames/>
  <calcPr/>
  <extLst>
    <ext uri="GoogleSheetsCustomDataVersion2">
      <go:sheetsCustomData xmlns:go="http://customooxmlschemas.google.com/" r:id="rId16" roundtripDataChecksum="RY4v3TcnXHQuKxH3UTCF8yoOoqwH8HWJE7MsB5RDC3A="/>
    </ext>
  </extLst>
</workbook>
</file>

<file path=xl/sharedStrings.xml><?xml version="1.0" encoding="utf-8"?>
<sst xmlns="http://schemas.openxmlformats.org/spreadsheetml/2006/main" count="2036" uniqueCount="545">
  <si>
    <t>Nómina integrada</t>
  </si>
  <si>
    <t>Personal integrado</t>
  </si>
  <si>
    <t>BASE_CONSOLIDADA</t>
  </si>
  <si>
    <t>Recursos Humanos integrado</t>
  </si>
  <si>
    <t>Información de origen integrada; todos los datos son ficticios.</t>
  </si>
  <si>
    <t>Una fila por empleado. Fecha de referencia de permanencia: 01/09/2026. Modelo demostrativo con datos simulados.</t>
  </si>
  <si>
    <t>NUMERO_CEDULA</t>
  </si>
  <si>
    <t>NOMBRE</t>
  </si>
  <si>
    <t>APELLIDO</t>
  </si>
  <si>
    <t>FECHA_NACIMIENTO</t>
  </si>
  <si>
    <t>EDAD</t>
  </si>
  <si>
    <t>GENERO</t>
  </si>
  <si>
    <t>CARGO</t>
  </si>
  <si>
    <t>CIUDAD</t>
  </si>
  <si>
    <t>AREA</t>
  </si>
  <si>
    <t>NIVEL_EDUCATIVO</t>
  </si>
  <si>
    <t>TIPO_CONTRATO</t>
  </si>
  <si>
    <t>ESTADO_CIVIL</t>
  </si>
  <si>
    <t>FECHA_INGRESO</t>
  </si>
  <si>
    <t>SALARIO_BASICO</t>
  </si>
  <si>
    <t>NUMERO_HIJOS</t>
  </si>
  <si>
    <t>BONIFICACIONES</t>
  </si>
  <si>
    <t>HORAS_EXTRAS</t>
  </si>
  <si>
    <t>OTROS_INGRESOS</t>
  </si>
  <si>
    <t>DEDUCCIONES</t>
  </si>
  <si>
    <t>SALARIO_BRUTO</t>
  </si>
  <si>
    <t>SALARIO_NETO</t>
  </si>
  <si>
    <t>PERIODO_NOMINA</t>
  </si>
  <si>
    <t>JORNADA</t>
  </si>
  <si>
    <t>ESTADO_EMPLEADO</t>
  </si>
  <si>
    <t>MODALIDAD_TRABAJO</t>
  </si>
  <si>
    <t>900900001</t>
  </si>
  <si>
    <t>Valentina</t>
  </si>
  <si>
    <t>Arias</t>
  </si>
  <si>
    <t>FECHA_RETIRO</t>
  </si>
  <si>
    <t>Desarrollador Senior</t>
  </si>
  <si>
    <t>Tecnología</t>
  </si>
  <si>
    <t>MOTIVO_RETIRO</t>
  </si>
  <si>
    <t>Indefinido</t>
  </si>
  <si>
    <t>FECHA_EVALUACION</t>
  </si>
  <si>
    <t>EVALUACION_DESEMPENO</t>
  </si>
  <si>
    <t>2026-09</t>
  </si>
  <si>
    <t>SATISFACCION_LABORAL</t>
  </si>
  <si>
    <t>RETIRADO</t>
  </si>
  <si>
    <t>COMPROMISO</t>
  </si>
  <si>
    <t>F</t>
  </si>
  <si>
    <t>900900002</t>
  </si>
  <si>
    <t>CLIMA_LABORAL</t>
  </si>
  <si>
    <t>Mateo</t>
  </si>
  <si>
    <t>Bogotá</t>
  </si>
  <si>
    <t>AUSENTISMO_DIAS</t>
  </si>
  <si>
    <t>Bustos</t>
  </si>
  <si>
    <t>Universitario</t>
  </si>
  <si>
    <t>INCAPACIDADES_DIAS</t>
  </si>
  <si>
    <t>Analista Financiero</t>
  </si>
  <si>
    <t>Finanzas</t>
  </si>
  <si>
    <t>HORAS_CAPACITACION</t>
  </si>
  <si>
    <t>Soltero</t>
  </si>
  <si>
    <t>NUMERO_CAPACITACIONES</t>
  </si>
  <si>
    <t>PROMOCIONES</t>
  </si>
  <si>
    <t>RECONOCIMIENTOS</t>
  </si>
  <si>
    <t>LLAMADOS_ATENCION</t>
  </si>
  <si>
    <t>HORAS_TRABAJO_SEMANA</t>
  </si>
  <si>
    <t>Medio tiempo</t>
  </si>
  <si>
    <t>INTENCION_PERMANENCIA</t>
  </si>
  <si>
    <t>Híbrido</t>
  </si>
  <si>
    <t>RIESGO_ROTACION</t>
  </si>
  <si>
    <t>900900003</t>
  </si>
  <si>
    <t>Sofía</t>
  </si>
  <si>
    <t>OBSERVACIONES_RRHH</t>
  </si>
  <si>
    <t>Cárdenas</t>
  </si>
  <si>
    <t>Ejecutivo Comercial</t>
  </si>
  <si>
    <t>Comercial</t>
  </si>
  <si>
    <t>Renuncia voluntaria</t>
  </si>
  <si>
    <t>Fijo</t>
  </si>
  <si>
    <t>M</t>
  </si>
  <si>
    <t>Medellín</t>
  </si>
  <si>
    <t>900900004</t>
  </si>
  <si>
    <t>Santiago</t>
  </si>
  <si>
    <t>Casado</t>
  </si>
  <si>
    <t>Duarte</t>
  </si>
  <si>
    <t>Coordinador de Operaciones</t>
  </si>
  <si>
    <t>Operaciones</t>
  </si>
  <si>
    <t>Observación simulada 1: seguimiento periódico.</t>
  </si>
  <si>
    <t>Mejor oportunidad laboral</t>
  </si>
  <si>
    <t>Cali</t>
  </si>
  <si>
    <t>Observación simulada 2: seguimiento periódico.</t>
  </si>
  <si>
    <t>Unión libre</t>
  </si>
  <si>
    <t>900900005</t>
  </si>
  <si>
    <t>Mariana</t>
  </si>
  <si>
    <t>Estrada</t>
  </si>
  <si>
    <t>Analista de Selección</t>
  </si>
  <si>
    <t>Recursos Humanos</t>
  </si>
  <si>
    <t>Presencial</t>
  </si>
  <si>
    <t>Cambio de ciudad</t>
  </si>
  <si>
    <t>Observación simulada 3: seguimiento periódico.</t>
  </si>
  <si>
    <t>900900006</t>
  </si>
  <si>
    <t>Nicolás</t>
  </si>
  <si>
    <t>Franco</t>
  </si>
  <si>
    <t>Auxiliar Logístico</t>
  </si>
  <si>
    <t>Logística</t>
  </si>
  <si>
    <t>Temporal</t>
  </si>
  <si>
    <t>Barranquilla</t>
  </si>
  <si>
    <t>900900007</t>
  </si>
  <si>
    <t>Camila</t>
  </si>
  <si>
    <t>FUENTE_RECLUTAMIENTO</t>
  </si>
  <si>
    <t>Gómez</t>
  </si>
  <si>
    <t>EXPERIENCIA_ANOS</t>
  </si>
  <si>
    <t>Especialista de Marketing</t>
  </si>
  <si>
    <t>Marketing</t>
  </si>
  <si>
    <t>RESULTADO_ENTREVISTA</t>
  </si>
  <si>
    <t>RESULTADO_PRUEBA_TECNICA</t>
  </si>
  <si>
    <t>RESULTADO_PRUEBA_PSICOTECNICA</t>
  </si>
  <si>
    <t>NUMERO_ENTREVISTAS</t>
  </si>
  <si>
    <t>SALARIO_INICIAL</t>
  </si>
  <si>
    <t>TIEMPO_CONTRATACION_DIAS</t>
  </si>
  <si>
    <t>DIAS_PERMANENCIA</t>
  </si>
  <si>
    <t>MESES_PERMANENCIA</t>
  </si>
  <si>
    <t>ANOS_PERMANENCIA</t>
  </si>
  <si>
    <t>900900008</t>
  </si>
  <si>
    <t>Tomás</t>
  </si>
  <si>
    <t>CATEGORIA_PERMANENCIA</t>
  </si>
  <si>
    <t>Herrera</t>
  </si>
  <si>
    <t>ROTACION</t>
  </si>
  <si>
    <t>Agente de Servicio</t>
  </si>
  <si>
    <t>Servicio al Cliente</t>
  </si>
  <si>
    <t>SCORE_RIESGO</t>
  </si>
  <si>
    <t>Bucaramanga</t>
  </si>
  <si>
    <t>900900009</t>
  </si>
  <si>
    <t>Isabella</t>
  </si>
  <si>
    <t>Ibarra</t>
  </si>
  <si>
    <t>Contador</t>
  </si>
  <si>
    <t>Contabilidad</t>
  </si>
  <si>
    <t>Técnico</t>
  </si>
  <si>
    <t>900900010</t>
  </si>
  <si>
    <t>Daniel</t>
  </si>
  <si>
    <t>Jiménez</t>
  </si>
  <si>
    <t>Analista de Compras</t>
  </si>
  <si>
    <t>Compras</t>
  </si>
  <si>
    <t>Observación simulada 4: seguimiento periódico.</t>
  </si>
  <si>
    <t>Terminación de contrato</t>
  </si>
  <si>
    <t>900900011</t>
  </si>
  <si>
    <t>Luciana</t>
  </si>
  <si>
    <t>López</t>
  </si>
  <si>
    <t>Asistente Administrativo</t>
  </si>
  <si>
    <t>Administración</t>
  </si>
  <si>
    <t>900900012</t>
  </si>
  <si>
    <t>Emiliano</t>
  </si>
  <si>
    <t>Márquez</t>
  </si>
  <si>
    <t>Ingeniero de Datos</t>
  </si>
  <si>
    <t>Remoto</t>
  </si>
  <si>
    <t>Observación simulada 5: seguimiento periódico.</t>
  </si>
  <si>
    <t>900900013</t>
  </si>
  <si>
    <t>Antonia</t>
  </si>
  <si>
    <t>Navarro</t>
  </si>
  <si>
    <t>Supervisor de Planta</t>
  </si>
  <si>
    <t>900900014</t>
  </si>
  <si>
    <t>Gabriel</t>
  </si>
  <si>
    <t>Ortega</t>
  </si>
  <si>
    <t>Asesor Comercial</t>
  </si>
  <si>
    <t>Observación simulada 6: seguimiento periódico.</t>
  </si>
  <si>
    <t>900900015</t>
  </si>
  <si>
    <t>Renata</t>
  </si>
  <si>
    <t>Pardo</t>
  </si>
  <si>
    <t>Gerente Financiero</t>
  </si>
  <si>
    <t>Observación simulada 7: seguimiento periódico.</t>
  </si>
  <si>
    <t>900900016</t>
  </si>
  <si>
    <t>Samuel</t>
  </si>
  <si>
    <t>Quintero</t>
  </si>
  <si>
    <t>Coordinador de Servicio</t>
  </si>
  <si>
    <t>Jubilación</t>
  </si>
  <si>
    <t>900900017</t>
  </si>
  <si>
    <t>Julieta</t>
  </si>
  <si>
    <t>Ríos</t>
  </si>
  <si>
    <t>Analista de Contenidos</t>
  </si>
  <si>
    <t>Observación simulada 8: seguimiento periódico.</t>
  </si>
  <si>
    <t>900900018</t>
  </si>
  <si>
    <t>Alejandro</t>
  </si>
  <si>
    <t>Sáenz</t>
  </si>
  <si>
    <t>Coordinador Logístico</t>
  </si>
  <si>
    <t>Observación simulada 9: seguimiento periódico.</t>
  </si>
  <si>
    <t>900900019</t>
  </si>
  <si>
    <t>Manuela</t>
  </si>
  <si>
    <t>Torres</t>
  </si>
  <si>
    <t>Generalista de RRHH</t>
  </si>
  <si>
    <t>Bajo desempeño</t>
  </si>
  <si>
    <t>900900020</t>
  </si>
  <si>
    <t>Martín</t>
  </si>
  <si>
    <t>Uribe</t>
  </si>
  <si>
    <t>Observación simulada 10: seguimiento periódico.</t>
  </si>
  <si>
    <t>Auxiliar Contable</t>
  </si>
  <si>
    <t>900900021</t>
  </si>
  <si>
    <t>Ana</t>
  </si>
  <si>
    <t>Vargas</t>
  </si>
  <si>
    <t>Jefe Administrativo</t>
  </si>
  <si>
    <t>Observación simulada 11: seguimiento periódico.</t>
  </si>
  <si>
    <t>Tecnólogo</t>
  </si>
  <si>
    <t>ACTIVO</t>
  </si>
  <si>
    <t>900900022</t>
  </si>
  <si>
    <t>Juan</t>
  </si>
  <si>
    <t>Wong</t>
  </si>
  <si>
    <t>Soporte TI</t>
  </si>
  <si>
    <t>Motivos personales</t>
  </si>
  <si>
    <t>Observación simulada 12: seguimiento periódico.</t>
  </si>
  <si>
    <t>900900023</t>
  </si>
  <si>
    <t>Laura</t>
  </si>
  <si>
    <t>Zamora</t>
  </si>
  <si>
    <t>Analista de Operaciones</t>
  </si>
  <si>
    <t>900900024</t>
  </si>
  <si>
    <t>Felipe</t>
  </si>
  <si>
    <t>Observación simulada 13: seguimiento periódico.</t>
  </si>
  <si>
    <t>Acosta</t>
  </si>
  <si>
    <t>Jefe de Ventas</t>
  </si>
  <si>
    <t>Posgrado</t>
  </si>
  <si>
    <t>900900025</t>
  </si>
  <si>
    <t>Natalia</t>
  </si>
  <si>
    <t>Beltrán</t>
  </si>
  <si>
    <t>Analista de Tesorería</t>
  </si>
  <si>
    <t>Observación simulada 14: seguimiento periódico.</t>
  </si>
  <si>
    <t>900900026</t>
  </si>
  <si>
    <t>David</t>
  </si>
  <si>
    <t>Castro</t>
  </si>
  <si>
    <t>Diseñador Digital</t>
  </si>
  <si>
    <t>Observación simulada 15: seguimiento periódico.</t>
  </si>
  <si>
    <t>900900027</t>
  </si>
  <si>
    <t>Paula</t>
  </si>
  <si>
    <t>Delgado</t>
  </si>
  <si>
    <t>Analista de Calidad</t>
  </si>
  <si>
    <t>900900028</t>
  </si>
  <si>
    <t>Jorge</t>
  </si>
  <si>
    <t>Escobar</t>
  </si>
  <si>
    <t>Coordinador de Compras</t>
  </si>
  <si>
    <t>Observación simulada 16: seguimiento periódico.</t>
  </si>
  <si>
    <t>900900029</t>
  </si>
  <si>
    <t>Sara</t>
  </si>
  <si>
    <t>Fuentes</t>
  </si>
  <si>
    <t>Analista de Inventarios</t>
  </si>
  <si>
    <t>Observación simulada 17: seguimiento periódico.</t>
  </si>
  <si>
    <t>900900030</t>
  </si>
  <si>
    <t>Esteban</t>
  </si>
  <si>
    <t>Gutiérrez</t>
  </si>
  <si>
    <t>Analista Administrativo</t>
  </si>
  <si>
    <t>Observación simulada 18: seguimiento periódico.</t>
  </si>
  <si>
    <t>Observación simulada 19: seguimiento periódico.</t>
  </si>
  <si>
    <t>Observación simulada 20: seguimiento periódico.</t>
  </si>
  <si>
    <t>Observación simulada 21: seguimiento periódico.</t>
  </si>
  <si>
    <t>Observación simulada 22: seguimiento periódico.</t>
  </si>
  <si>
    <t>Observación simulada 23: seguimiento periódico.</t>
  </si>
  <si>
    <t>Observación simulada 24: seguimiento periódico.</t>
  </si>
  <si>
    <t>Observación simulada 25: seguimiento periódico.</t>
  </si>
  <si>
    <t>Observación simulada 26: seguimiento periódico.</t>
  </si>
  <si>
    <t>Observación simulada 27: seguimiento periódico.</t>
  </si>
  <si>
    <t>Observación simulada 28: seguimiento periódico.</t>
  </si>
  <si>
    <t>Observación simulada 29: seguimiento periódico.</t>
  </si>
  <si>
    <t>Observación simulada 30: seguimiento periódico.</t>
  </si>
  <si>
    <t>Contratación integrada</t>
  </si>
  <si>
    <t>VARIABLES_MODELO</t>
  </si>
  <si>
    <t>Variables empleadas por el modelo demostrativo interpretable.</t>
  </si>
  <si>
    <t>Tipo</t>
  </si>
  <si>
    <t>Variable</t>
  </si>
  <si>
    <t>Descripción</t>
  </si>
  <si>
    <t>Fuente</t>
  </si>
  <si>
    <t>Referencia</t>
  </si>
  <si>
    <t>Uso</t>
  </si>
  <si>
    <t>Variable objetivo</t>
  </si>
  <si>
    <t>Duración real o simulada del empleado en meses.</t>
  </si>
  <si>
    <t>Calculada</t>
  </si>
  <si>
    <t>AV en BASE_CONSOLIDADA</t>
  </si>
  <si>
    <t>Objetivo continuo</t>
  </si>
  <si>
    <t>Variable objetivo secundaria</t>
  </si>
  <si>
    <t>1 si el empleado está retirado; 0 si está activo.</t>
  </si>
  <si>
    <t>AY en BASE_CONSOLIDADA</t>
  </si>
  <si>
    <t>Objetivo binario</t>
  </si>
  <si>
    <t>Predictora económica</t>
  </si>
  <si>
    <t>Salario después de deducciones.</t>
  </si>
  <si>
    <t>Nómina</t>
  </si>
  <si>
    <t>X en BASE_CONSOLIDADA</t>
  </si>
  <si>
    <t>Numérica</t>
  </si>
  <si>
    <t>Predictora de experiencia</t>
  </si>
  <si>
    <t>Percepción de satisfacción en escala 1 a 5.</t>
  </si>
  <si>
    <t>RRHH</t>
  </si>
  <si>
    <t>Z en BASE_CONSOLIDADA</t>
  </si>
  <si>
    <t>Ordinal</t>
  </si>
  <si>
    <t>Predictora de desempeño</t>
  </si>
  <si>
    <t>Evaluación en escala 0 a 100.</t>
  </si>
  <si>
    <t>Y en BASE_CONSOLIDADA</t>
  </si>
  <si>
    <t>Predictora de carga</t>
  </si>
  <si>
    <t>Días de ausencia registrados.</t>
  </si>
  <si>
    <t>AC en BASE_CONSOLIDADA</t>
  </si>
  <si>
    <t>Predictora contractual</t>
  </si>
  <si>
    <t>Modalidad contractual.</t>
  </si>
  <si>
    <t>Personal</t>
  </si>
  <si>
    <t>M en BASE_CONSOLIDADA</t>
  </si>
  <si>
    <t>Categórica</t>
  </si>
  <si>
    <t>Predictora de selección</t>
  </si>
  <si>
    <t>Días desde solicitud hasta contratación.</t>
  </si>
  <si>
    <t>Contratación</t>
  </si>
  <si>
    <t>AS en BASE_CONSOLIDADA</t>
  </si>
  <si>
    <t>Clasificación</t>
  </si>
  <si>
    <t>BAJO, MEDIO o ALTO según score ponderado interpretable.</t>
  </si>
  <si>
    <t>AZ en BASE_CONSOLIDADA</t>
  </si>
  <si>
    <t>Índice auxiliar</t>
  </si>
  <si>
    <t>Score ponderado de señales de rotación; mayor valor implica mayor riesgo.</t>
  </si>
  <si>
    <t>BAZ en BASE_CONSOLIDADA</t>
  </si>
  <si>
    <t>FECHA_SOLICITUD</t>
  </si>
  <si>
    <t>FECHA_PUBLICACION</t>
  </si>
  <si>
    <t>FECHA_POSTULACION</t>
  </si>
  <si>
    <t>FECHA_PRIMERA_ENTREVISTA</t>
  </si>
  <si>
    <t>FECHA_SEGUNDA_ENTREVISTA</t>
  </si>
  <si>
    <t>FECHA_PRUEBA_TECNICA</t>
  </si>
  <si>
    <t>FECHA_PRUEBA_PSICOTECNICA</t>
  </si>
  <si>
    <t>FECHA_CONTRATACION</t>
  </si>
  <si>
    <t>VACANTE</t>
  </si>
  <si>
    <t>TIPO_CONTRATO_INICIAL</t>
  </si>
  <si>
    <t>RECLUTADOR</t>
  </si>
  <si>
    <t>ESTADO_PROCESO</t>
  </si>
  <si>
    <t>Vacante Tecnología Desarrollador Senior</t>
  </si>
  <si>
    <t>LinkedIn</t>
  </si>
  <si>
    <t>SELECCIONADO</t>
  </si>
  <si>
    <t>Vacante Finanzas Analista Financiero</t>
  </si>
  <si>
    <t>Referido interno</t>
  </si>
  <si>
    <t>Bruno</t>
  </si>
  <si>
    <t>Vacante Comercial Ejecutivo Comercial</t>
  </si>
  <si>
    <t>Portal de empleo</t>
  </si>
  <si>
    <t>Carla</t>
  </si>
  <si>
    <t>SIMULADOR DE PERMANENCIA</t>
  </si>
  <si>
    <t>ANALISIS</t>
  </si>
  <si>
    <t>Vacante Operaciones Coordinador de Operaciones</t>
  </si>
  <si>
    <t>Ingrese o modifique los valores amarillos. Resultado: modelo demostrativo basado en datos simulados.</t>
  </si>
  <si>
    <t>Análisis descriptivo y correlacional. Los resultados son demostrativos y no inferenciales.</t>
  </si>
  <si>
    <t>Diego</t>
  </si>
  <si>
    <t>Permanencia estimada (meses)</t>
  </si>
  <si>
    <t>ANÁLISIS EXPLORATORIO</t>
  </si>
  <si>
    <t>RESULTADO</t>
  </si>
  <si>
    <t>INTERPRETACIÓN</t>
  </si>
  <si>
    <t>Permanencia promedio</t>
  </si>
  <si>
    <t>Vacante Recursos Humanos Analista de Selección</t>
  </si>
  <si>
    <t>Duración media observada en la muestra simulada.</t>
  </si>
  <si>
    <t>Tasa de rotación</t>
  </si>
  <si>
    <t>Vacante Logística Auxiliar Logístico</t>
  </si>
  <si>
    <t>Agencia de empleo</t>
  </si>
  <si>
    <t>Proporción de empleados retirados en la fecha de referencia.</t>
  </si>
  <si>
    <t>Salario neto vs permanencia (correlación)</t>
  </si>
  <si>
    <t>Estimación heurística interpretable.</t>
  </si>
  <si>
    <t>Campo</t>
  </si>
  <si>
    <t>Valor</t>
  </si>
  <si>
    <t>Vacante Marketing Especialista de Marketing</t>
  </si>
  <si>
    <t>Asociación lineal descriptiva; no implica causalidad.</t>
  </si>
  <si>
    <t>Notas</t>
  </si>
  <si>
    <t>Permanencia estimada (años)</t>
  </si>
  <si>
    <t>Satisfacción vs permanencia (correlación)</t>
  </si>
  <si>
    <t>Señal esperada de experiencia y permanencia.</t>
  </si>
  <si>
    <t>Desempeño vs permanencia (correlación)</t>
  </si>
  <si>
    <t>Vacante Servicio al Cliente Agente de Servicio</t>
  </si>
  <si>
    <t>Relación descriptiva en datos simulados.</t>
  </si>
  <si>
    <t>Ausentismo vs rotación (correlación)</t>
  </si>
  <si>
    <t>Conversión de meses a años.</t>
  </si>
  <si>
    <t>Edad</t>
  </si>
  <si>
    <t>Años</t>
  </si>
  <si>
    <t>Vacante Contabilidad Contador</t>
  </si>
  <si>
    <t>Score de riesgo</t>
  </si>
  <si>
    <t>Mayor valor equivale a mayor riesgo.</t>
  </si>
  <si>
    <t>Área</t>
  </si>
  <si>
    <t>Asociación descriptiva entre ausentismo y estado de retiro.</t>
  </si>
  <si>
    <t>Lista de áreas simuladas</t>
  </si>
  <si>
    <t>Riesgo de rotación</t>
  </si>
  <si>
    <t>Permanencia activos</t>
  </si>
  <si>
    <t>Vacante Compras Analista de Compras</t>
  </si>
  <si>
    <t>Promedio de empleados activos censurados a la fecha de referencia.</t>
  </si>
  <si>
    <t>Permanencia retirados</t>
  </si>
  <si>
    <t>Clasificación por umbrales.</t>
  </si>
  <si>
    <t>Cargo</t>
  </si>
  <si>
    <t>Analista</t>
  </si>
  <si>
    <t>Texto libre</t>
  </si>
  <si>
    <t>Factores de mayor influencia</t>
  </si>
  <si>
    <t>Vacante Administración Asistente Administrativo</t>
  </si>
  <si>
    <t>Promedio de duración observada de empleados retirados.</t>
  </si>
  <si>
    <t>Lectura cualitativa del resultado.</t>
  </si>
  <si>
    <t>Salario mensual</t>
  </si>
  <si>
    <t>RESUMEN POR ÁREA</t>
  </si>
  <si>
    <t>EMPLEADOS</t>
  </si>
  <si>
    <t>PERMANENCIA PROMEDIO</t>
  </si>
  <si>
    <t>Pesos colombianos simulados</t>
  </si>
  <si>
    <t>ROTACIÓN</t>
  </si>
  <si>
    <t>Vacante Tecnología Ingeniero de Datos</t>
  </si>
  <si>
    <t>Tipo de contrato</t>
  </si>
  <si>
    <t>Indefinido / Fijo / Temporal</t>
  </si>
  <si>
    <t>RIESGO ALTO</t>
  </si>
  <si>
    <t>Experiencia previa</t>
  </si>
  <si>
    <t>Nivel educativo</t>
  </si>
  <si>
    <t>Técnico / Tecnólogo / Universitario / Posgrado</t>
  </si>
  <si>
    <t>ESCENARIOS WHAT-IF</t>
  </si>
  <si>
    <t>Satisfacción esperada</t>
  </si>
  <si>
    <t>Escala 1 a 5</t>
  </si>
  <si>
    <t>Vacante Operaciones Supervisor de Planta</t>
  </si>
  <si>
    <t>Escenario</t>
  </si>
  <si>
    <t>Permanencia (meses)</t>
  </si>
  <si>
    <t>Riesgo</t>
  </si>
  <si>
    <t>Compromiso esperado</t>
  </si>
  <si>
    <t>A</t>
  </si>
  <si>
    <t>Salario bajo + satisfacción baja</t>
  </si>
  <si>
    <t>Vacante Comercial Asesor Comercial</t>
  </si>
  <si>
    <t>Redes sociales</t>
  </si>
  <si>
    <t>Vacante Finanzas Gerente Financiero</t>
  </si>
  <si>
    <t>Vacante Servicio al Cliente Coordinador de Servicio</t>
  </si>
  <si>
    <t>Vacante Marketing Analista de Contenidos</t>
  </si>
  <si>
    <t>Desempeño esperado</t>
  </si>
  <si>
    <t>Escala 0 a 100</t>
  </si>
  <si>
    <t>Vacante Logística Coordinador Logístico</t>
  </si>
  <si>
    <t>B</t>
  </si>
  <si>
    <t>Salario competitivo + satisfacción alta</t>
  </si>
  <si>
    <t>Vacante Recursos Humanos Generalista de RRHH</t>
  </si>
  <si>
    <t>Vacante Contabilidad Auxiliar Contable</t>
  </si>
  <si>
    <t>Ausentismo esperado</t>
  </si>
  <si>
    <t>Días</t>
  </si>
  <si>
    <t>C</t>
  </si>
  <si>
    <t>Contrato temporal</t>
  </si>
  <si>
    <t>Vacante Administración Jefe Administrativo</t>
  </si>
  <si>
    <t>Vacante Tecnología Soporte TI</t>
  </si>
  <si>
    <t>Horas de capacitación</t>
  </si>
  <si>
    <t>Horas</t>
  </si>
  <si>
    <t>Vacante Operaciones Analista de Operaciones</t>
  </si>
  <si>
    <t>D</t>
  </si>
  <si>
    <t>Alto desempeño y satisfacción</t>
  </si>
  <si>
    <t>Vacante Comercial Jefe de Ventas</t>
  </si>
  <si>
    <t>Vacante Finanzas Analista de Tesorería</t>
  </si>
  <si>
    <t>Resultado entrevista</t>
  </si>
  <si>
    <t>Puntaje 0 a 100</t>
  </si>
  <si>
    <t>E</t>
  </si>
  <si>
    <t>Alto ausentismo</t>
  </si>
  <si>
    <t>Vacante Marketing Diseñador Digital</t>
  </si>
  <si>
    <t>Vacante Servicio al Cliente Analista de Calidad</t>
  </si>
  <si>
    <t>Vacante Compras Coordinador de Compras</t>
  </si>
  <si>
    <t>Resultado prueba técnica</t>
  </si>
  <si>
    <t>Resultado psicotécnico</t>
  </si>
  <si>
    <t>Fuente de reclutamiento</t>
  </si>
  <si>
    <t>Modalidad de trabajo</t>
  </si>
  <si>
    <t>Presencial / Híbrido / Remoto</t>
  </si>
  <si>
    <t>Vacante Logística Analista de Inventarios</t>
  </si>
  <si>
    <t>Vacante Administración Analista Administrativo</t>
  </si>
  <si>
    <t>RESUMEN POR CONTRATO</t>
  </si>
  <si>
    <t>DICCIONARIO_DATOS</t>
  </si>
  <si>
    <t>Definiciones y uso de las variables del prototipo.</t>
  </si>
  <si>
    <t>Tipo de dato</t>
  </si>
  <si>
    <t>Valores permitidos</t>
  </si>
  <si>
    <t>Original/calculada</t>
  </si>
  <si>
    <t>Fórmula</t>
  </si>
  <si>
    <t>Utilidad para el modelo</t>
  </si>
  <si>
    <t>Variable de nómina</t>
  </si>
  <si>
    <t>NOMINA</t>
  </si>
  <si>
    <t>Texto/numérico</t>
  </si>
  <si>
    <t>Según catálogo</t>
  </si>
  <si>
    <t>Original</t>
  </si>
  <si>
    <t>Condición económica</t>
  </si>
  <si>
    <t>METODOLOGIA</t>
  </si>
  <si>
    <t>Documentación técnica, supuestos, interpretación y advertencia de uso.</t>
  </si>
  <si>
    <t>Tema</t>
  </si>
  <si>
    <t>Propósito</t>
  </si>
  <si>
    <t>Prototipo académico de People Analytics para integrar contratación, personal, nómina y RRHH, calcular permanencia y demostrar un esquema interpretable de riesgo de rotación.</t>
  </si>
  <si>
    <t>Naturaleza de los datos</t>
  </si>
  <si>
    <t>Todos los datos, nombres, identificaciones, fechas, salarios y resultados son completamente ficticios y fueron construidos para simulación.</t>
  </si>
  <si>
    <t>Cobertura</t>
  </si>
  <si>
    <t>30 empleados únicos; los mismos NUMERO_CEDULA aparecen en NOMINA, PERSONAL, RRHH y CONTRATACION. Se incluyen empleados activos y retirados, múltiples áreas, cargos y contratos.</t>
  </si>
  <si>
    <t>Llave de integración</t>
  </si>
  <si>
    <t>NUMERO_CEDULA es la llave única común a las cuatro bases. La BASE_CONSOLIDADA contiene una fila por empleado.</t>
  </si>
  <si>
    <t>Fecha de referencia</t>
  </si>
  <si>
    <t>01/09/2026. Para activos, permanencia = fecha de referencia - fecha de ingreso. Para retirados, permanencia = fecha de retiro - fecha de ingreso.</t>
  </si>
  <si>
    <t>Permanencia</t>
  </si>
  <si>
    <t>DIAS_PERMANENCIA se convierte a MESES_PERMANENCIA dividiendo por 30.4375; ANOS_PERMANENCIA = meses / 12. CATEGORIA_PERMANENCIA usa seis intervalos.</t>
  </si>
  <si>
    <t>Rotación</t>
  </si>
  <si>
    <t>ROTACION = 1 para RETIRADO y 0 para ACTIVO. Esta definición es demostrativa y no pretende representar un evento de supervivencia plenamente observado.</t>
  </si>
  <si>
    <t>SCORE_RIESGO combina satisfacción, compromiso, desempeño, ausentismo, tipo de contrato y salario. RIESGO_ROTACION: BAJO &lt; 0.40; MEDIO entre 0.40 y &lt;0.67; ALTO &gt;=0.67. Mayor score = mayor riesgo.</t>
  </si>
  <si>
    <t>Modelo demostrativo</t>
  </si>
  <si>
    <t>Se utiliza una fórmula heurística ponderada e interpretable, apropiada para mostrar el funcionamiento con 30 observaciones. No se presenta como predicción real ni se usa para decisiones automatizadas.</t>
  </si>
  <si>
    <t>Simulador</t>
  </si>
  <si>
    <t>La hoja SIMULADOR permite modificar inputs en amarillo y calcula permanencia estimada, años, score, riesgo y factores cualitativos. Incluye cinco escenarios What-if.</t>
  </si>
  <si>
    <t>Análisis</t>
  </si>
  <si>
    <t>Se presentan promedios, tasas, correlaciones descriptivas y agrupaciones por área/contrato. Las asociaciones no prueban causalidad.</t>
  </si>
  <si>
    <t>Limitaciones</t>
  </si>
  <si>
    <t>Muestra pequeña, datos simulados, selección no aleatoria, sin censura estadística avanzada, sin validación cruzada y sin evaluación de sesgos o privacidad operacional.</t>
  </si>
  <si>
    <t>Advertencia obligatoria</t>
  </si>
  <si>
    <t>Este sistema constituye un prototipo académico de People Analytics desarrollado con datos completamente simulados. Los resultados del modelo son demostrativos y no representan predicciones reales. El modelo no debe utilizarse para tomar decisiones automatizadas de contratación, despido, promoción o permanencia de personas. En un entorno empresarial real sería necesario utilizar datos reales, mayor cantidad de observaciones, validación estadística, evaluación de sesgos, controles de privacidad y validación del modelo antes de cualquier uso operativo.</t>
  </si>
  <si>
    <t>Variable personal y laboral</t>
  </si>
  <si>
    <t>PERSONAL</t>
  </si>
  <si>
    <t>Texto/numérico/fecha</t>
  </si>
  <si>
    <t>Contexto del empleado</t>
  </si>
  <si>
    <t>CONTROL_CALIDAD</t>
  </si>
  <si>
    <t>Validaciones automáticas; se espera que las comprobaciones críticas presenten OK.</t>
  </si>
  <si>
    <t>VALIDACIÓN</t>
  </si>
  <si>
    <t>DETALLE</t>
  </si>
  <si>
    <t>Mínimo 20 empleados únicos</t>
  </si>
  <si>
    <t>Variable de experiencia y percepción</t>
  </si>
  <si>
    <t>Numérico/texto</t>
  </si>
  <si>
    <t>Escalas definidas</t>
  </si>
  <si>
    <t>Debe haber al menos 20 cédulas.</t>
  </si>
  <si>
    <t>Cédulas duplicadas en consolidada</t>
  </si>
  <si>
    <t>Experiencia y riesgo</t>
  </si>
  <si>
    <t>Una fila por empleado.</t>
  </si>
  <si>
    <t>Mismos empleados en las cuatro bases</t>
  </si>
  <si>
    <t>Conteos consistentes.</t>
  </si>
  <si>
    <t>Activos y retirados</t>
  </si>
  <si>
    <t>Se requiere mezcla de estados.</t>
  </si>
  <si>
    <t>Fechas de retiro coherentes</t>
  </si>
  <si>
    <t>Retiro posterior a ingreso.</t>
  </si>
  <si>
    <t>Activos sin fecha de retiro</t>
  </si>
  <si>
    <t>Activos deben tener fecha vacía.</t>
  </si>
  <si>
    <t>Retirados con fecha de retiro</t>
  </si>
  <si>
    <t>Variable del proceso de contratación</t>
  </si>
  <si>
    <t>CONTRATACION</t>
  </si>
  <si>
    <t>Retirados deben tener fecha.</t>
  </si>
  <si>
    <t>Salarios no negativos</t>
  </si>
  <si>
    <t>Calidad del proceso de selección</t>
  </si>
  <si>
    <t>Salarios simulados no negativos.</t>
  </si>
  <si>
    <t>Resultados dentro de rango</t>
  </si>
  <si>
    <t>Escalas de desempeño y percepción.</t>
  </si>
  <si>
    <t>Salario bruto correcto</t>
  </si>
  <si>
    <t>Bruto = básico + bonificaciones + horas extras + otros ingresos.</t>
  </si>
  <si>
    <t>Salario neto correcto</t>
  </si>
  <si>
    <t>Neto = bruto - deducciones.</t>
  </si>
  <si>
    <t>Tiempo de contratación correcto</t>
  </si>
  <si>
    <t>Contratación posterior a solicitud.</t>
  </si>
  <si>
    <t>Permanencia no negativa</t>
  </si>
  <si>
    <t>Duración coherente.</t>
  </si>
  <si>
    <t>Cédulas faltantes</t>
  </si>
  <si>
    <t>Todas las filas tienen llave.</t>
  </si>
  <si>
    <t>DASHBOARD | PEOPLE ANALYTICS</t>
  </si>
  <si>
    <t>Panel ejecutivo — todos los resultados son demostrativos y basados en datos simulados. No usar para decisiones automatizadas.</t>
  </si>
  <si>
    <t>Total empleados</t>
  </si>
  <si>
    <t>Activos</t>
  </si>
  <si>
    <t>Retirados</t>
  </si>
  <si>
    <t>Salario promedio</t>
  </si>
  <si>
    <t>Variable analítica del modelo</t>
  </si>
  <si>
    <t>Definido en metodología</t>
  </si>
  <si>
    <t>Ver METODOLOGIA</t>
  </si>
  <si>
    <t>Objetivo o predictor</t>
  </si>
  <si>
    <t>Satisfacción promedio</t>
  </si>
  <si>
    <t>Desempeño promedio</t>
  </si>
  <si>
    <t>Riesgo alto</t>
  </si>
  <si>
    <t>Empleados</t>
  </si>
  <si>
    <t>Contrato</t>
  </si>
  <si>
    <t>BAJO</t>
  </si>
  <si>
    <t>MEDIO</t>
  </si>
  <si>
    <t>ALTO</t>
  </si>
  <si>
    <t>CONCLUSIÓN EJECUTIVA</t>
  </si>
  <si>
    <t>Los hallazgos se calculan mediante fórmulas en el libro y deben interpretarse como demostrativos. La permanencia, rotación y asociaciones por salario, satisfacción, desempeño, ausentismo y contrato sirven para ilustrar el flujo de People Analytics, no para inferir relaciones causales ni tomar decisiones sobre personas. El perfil de mayor riesgo combina señales de satisfacción/compromiso más bajas, mayor ausentismo y contrato menos estable. En un entorno real se necesitarían más observaciones, datos reales gobernados, validación estadística, evaluación de sesgos y controles de privacidad.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</si>
</sst>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\$#,##0"/>
    <numFmt numFmtId="166" formatCode="0.0"/>
    <numFmt numFmtId="167" formatCode="yyyy\-mm\-dd"/>
    <numFmt numFmtId="168" formatCode="0.0%"/>
  </numFmts>
  <fonts count="8">
    <font>
      <sz val="11.0"/>
      <color theme="1"/>
      <name val="Calibri"/>
      <scheme val="minor"/>
    </font>
    <font>
      <b/>
      <sz val="11.0"/>
      <color rgb="FFFFFFFF"/>
      <name val="Cambria"/>
    </font>
    <font/>
    <font>
      <i/>
      <sz val="11.0"/>
      <color rgb="FF666666"/>
      <name val="Cambria"/>
    </font>
    <font>
      <sz val="11.0"/>
      <color theme="1"/>
      <name val="Calibri"/>
    </font>
    <font>
      <b/>
      <sz val="16.0"/>
      <color rgb="FFFFFFFF"/>
      <name val="Cambria"/>
    </font>
    <font>
      <color theme="1"/>
      <name val="Calibri"/>
      <scheme val="minor"/>
    </font>
    <font>
      <b/>
      <sz val="18.0"/>
      <color rgb="FF17365D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0F6B78"/>
        <bgColor rgb="FF0F6B7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center" wrapText="0"/>
    </xf>
    <xf borderId="4" fillId="0" fontId="2" numFmtId="0" xfId="0" applyBorder="1" applyFont="1"/>
    <xf borderId="4" fillId="0" fontId="4" numFmtId="0" xfId="0" applyAlignment="1" applyBorder="1" applyFont="1">
      <alignment shrinkToFit="0" vertical="center" wrapText="0"/>
    </xf>
    <xf borderId="5" fillId="2" fontId="1" numFmtId="0" xfId="0" applyAlignment="1" applyBorder="1" applyFill="1" applyFont="1">
      <alignment horizontal="center" shrinkToFit="0" vertical="center" wrapText="1"/>
    </xf>
    <xf borderId="4" fillId="0" fontId="4" numFmtId="164" xfId="0" applyAlignment="1" applyBorder="1" applyFont="1" applyNumberFormat="1">
      <alignment shrinkToFit="0" vertical="center" wrapText="0"/>
    </xf>
    <xf borderId="4" fillId="0" fontId="4" numFmtId="165" xfId="0" applyAlignment="1" applyBorder="1" applyFont="1" applyNumberFormat="1">
      <alignment shrinkToFit="0" vertical="center" wrapText="0"/>
    </xf>
    <xf borderId="4" fillId="0" fontId="4" numFmtId="166" xfId="0" applyAlignment="1" applyBorder="1" applyFont="1" applyNumberFormat="1">
      <alignment shrinkToFit="0" vertical="center" wrapText="0"/>
    </xf>
    <xf borderId="4" fillId="0" fontId="4" numFmtId="167" xfId="0" applyAlignment="1" applyBorder="1" applyFont="1" applyNumberFormat="1">
      <alignment shrinkToFit="0" vertical="center" wrapText="0"/>
    </xf>
    <xf borderId="1" fillId="2" fontId="5" numFmtId="0" xfId="0" applyAlignment="1" applyBorder="1" applyFill="1" applyFont="1">
      <alignment horizontal="left" shrinkToFit="0" vertical="bottom" wrapText="0"/>
    </xf>
    <xf borderId="0" fillId="0" fontId="3" numFmtId="0" xfId="0" applyAlignment="1" applyFont="1">
      <alignment shrinkToFit="0" vertical="bottom" wrapText="1"/>
    </xf>
    <xf borderId="0" fillId="0" fontId="6" numFmtId="0" xfId="0" applyFont="1"/>
    <xf borderId="4" fillId="0" fontId="4" numFmtId="2" xfId="0" applyAlignment="1" applyBorder="1" applyFont="1" applyNumberFormat="1">
      <alignment shrinkToFit="0" vertical="center" wrapText="0"/>
    </xf>
    <xf borderId="5" fillId="3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5" fillId="4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4" numFmtId="168" xfId="0" applyAlignment="1" applyBorder="1" applyFont="1" applyNumberFormat="1">
      <alignment shrinkToFit="0" vertical="center" wrapText="0"/>
    </xf>
    <xf borderId="4" fillId="0" fontId="4" numFmtId="0" xfId="0" applyAlignment="1" applyBorder="1" applyFont="1">
      <alignment shrinkToFit="0" vertical="top" wrapText="1"/>
    </xf>
    <xf borderId="1" fillId="5" fontId="1" numFmtId="0" xfId="0" applyAlignment="1" applyBorder="1" applyFill="1" applyFont="1">
      <alignment shrinkToFit="0" vertical="bottom" wrapText="0"/>
    </xf>
    <xf borderId="0" fillId="0" fontId="7" numFmtId="1" xfId="0" applyAlignment="1" applyFont="1" applyNumberFormat="1">
      <alignment shrinkToFit="0" vertical="bottom" wrapText="0"/>
    </xf>
    <xf borderId="0" fillId="0" fontId="7" numFmtId="168" xfId="0" applyAlignment="1" applyFont="1" applyNumberForma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Permanencia promedio por área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Permanencia promedio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DASHBOARD!$A$18:$A$28</c:f>
            </c:strRef>
          </c:cat>
          <c:val>
            <c:numRef>
              <c:f>DASHBOARD!$C$18:$C$28</c:f>
              <c:numCache/>
            </c:numRef>
          </c:val>
        </c:ser>
        <c:axId val="1450507824"/>
        <c:axId val="1519211377"/>
      </c:barChart>
      <c:catAx>
        <c:axId val="1450507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19211377"/>
      </c:catAx>
      <c:valAx>
        <c:axId val="1519211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5050782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Permanencia por tipo de contrato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Permanencia promedio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DASHBOARD!$A$32:$A$34</c:f>
            </c:strRef>
          </c:cat>
          <c:val>
            <c:numRef>
              <c:f>DASHBOARD!$B$32:$B$34</c:f>
              <c:numCache/>
            </c:numRef>
          </c:val>
        </c:ser>
        <c:axId val="622812883"/>
        <c:axId val="717476920"/>
      </c:barChart>
      <c:catAx>
        <c:axId val="622812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17476920"/>
      </c:catAx>
      <c:valAx>
        <c:axId val="717476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2281288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Distribución de riesgo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DASHBOARD!$B$37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DASHBOARD!$A$38:$A$40</c:f>
            </c:strRef>
          </c:cat>
          <c:val>
            <c:numRef>
              <c:f>DASHBOARD!$B$38:$B$40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171450</xdr:rowOff>
    </xdr:from>
    <xdr:ext cx="3838575" cy="2371725"/>
    <xdr:graphicFrame>
      <xdr:nvGraphicFramePr>
        <xdr:cNvPr id="30016098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16</xdr:row>
      <xdr:rowOff>85725</xdr:rowOff>
    </xdr:from>
    <xdr:ext cx="3838575" cy="2638425"/>
    <xdr:graphicFrame>
      <xdr:nvGraphicFramePr>
        <xdr:cNvPr id="128477371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30</xdr:row>
      <xdr:rowOff>85725</xdr:rowOff>
    </xdr:from>
    <xdr:ext cx="3114675" cy="2638425"/>
    <xdr:graphicFrame>
      <xdr:nvGraphicFramePr>
        <xdr:cNvPr id="95833498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6" width="12.0"/>
    <col customWidth="1" min="7" max="7" width="17.0"/>
    <col customWidth="1" min="8" max="9" width="14.0"/>
    <col customWidth="1" min="10" max="11" width="12.0"/>
    <col customWidth="1" min="12" max="13" width="15.0"/>
    <col customWidth="1" min="14" max="14" width="12.0"/>
    <col customWidth="1" min="15" max="15" width="19.0"/>
    <col customWidth="1" min="16" max="16" width="17.0"/>
    <col customWidth="1" min="17" max="17" width="14.0"/>
    <col customWidth="1" min="18" max="18" width="15.0"/>
    <col customWidth="1" min="19" max="20" width="16.0"/>
    <col customWidth="1" min="21" max="21" width="14.0"/>
    <col customWidth="1" min="22" max="22" width="13.0"/>
    <col customWidth="1" min="23" max="23" width="15.0"/>
    <col customWidth="1" min="24" max="24" width="14.0"/>
    <col customWidth="1" min="25" max="26" width="22.0"/>
    <col customWidth="1" min="27" max="27" width="12.0"/>
    <col customWidth="1" min="28" max="28" width="15.0"/>
    <col customWidth="1" min="29" max="29" width="17.0"/>
    <col customWidth="1" min="30" max="31" width="20.0"/>
    <col customWidth="1" min="32" max="32" width="23.0"/>
    <col customWidth="1" min="33" max="33" width="13.0"/>
    <col customWidth="1" min="34" max="34" width="17.0"/>
    <col customWidth="1" min="35" max="35" width="19.0"/>
    <col customWidth="1" min="36" max="36" width="23.0"/>
    <col customWidth="1" min="37" max="37" width="22.0"/>
    <col customWidth="1" min="38" max="38" width="18.0"/>
    <col customWidth="1" min="39" max="39" width="22.0"/>
    <col customWidth="1" min="40" max="41" width="24.0"/>
    <col customWidth="1" min="42" max="42" width="20.0"/>
    <col customWidth="1" min="43" max="43" width="17.0"/>
    <col customWidth="1" min="44" max="44" width="24.0"/>
    <col customWidth="1" min="45" max="45" width="18.0"/>
    <col customWidth="1" min="46" max="46" width="19.0"/>
    <col customWidth="1" min="47" max="47" width="18.0"/>
    <col customWidth="1" min="48" max="48" width="23.0"/>
    <col customWidth="1" min="49" max="49" width="12.0"/>
    <col customWidth="1" min="50" max="50" width="17.0"/>
    <col customWidth="1" min="51" max="51" width="14.0"/>
  </cols>
  <sheetData>
    <row r="1" ht="30.0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</row>
    <row r="2">
      <c r="A2" s="4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>
      <c r="A4" s="6" t="s">
        <v>6</v>
      </c>
      <c r="B4" s="6" t="s">
        <v>7</v>
      </c>
      <c r="C4" s="6" t="s">
        <v>8</v>
      </c>
      <c r="D4" s="6" t="s">
        <v>10</v>
      </c>
      <c r="E4" s="6" t="s">
        <v>11</v>
      </c>
      <c r="F4" s="6" t="s">
        <v>13</v>
      </c>
      <c r="G4" s="6" t="s">
        <v>15</v>
      </c>
      <c r="H4" s="6" t="s">
        <v>17</v>
      </c>
      <c r="I4" s="6" t="s">
        <v>20</v>
      </c>
      <c r="J4" s="6" t="s">
        <v>14</v>
      </c>
      <c r="K4" s="6" t="s">
        <v>12</v>
      </c>
      <c r="L4" s="8" t="s">
        <v>18</v>
      </c>
      <c r="M4" s="6" t="s">
        <v>16</v>
      </c>
      <c r="N4" s="6" t="s">
        <v>28</v>
      </c>
      <c r="O4" s="6" t="s">
        <v>30</v>
      </c>
      <c r="P4" s="6" t="s">
        <v>29</v>
      </c>
      <c r="Q4" s="8" t="s">
        <v>34</v>
      </c>
      <c r="R4" s="6" t="s">
        <v>37</v>
      </c>
      <c r="S4" s="9" t="s">
        <v>19</v>
      </c>
      <c r="T4" s="9" t="s">
        <v>21</v>
      </c>
      <c r="U4" s="9" t="s">
        <v>22</v>
      </c>
      <c r="V4" s="9" t="s">
        <v>24</v>
      </c>
      <c r="W4" s="9" t="s">
        <v>25</v>
      </c>
      <c r="X4" s="9" t="s">
        <v>26</v>
      </c>
      <c r="Y4" s="6" t="s">
        <v>40</v>
      </c>
      <c r="Z4" s="6" t="s">
        <v>42</v>
      </c>
      <c r="AA4" s="6" t="s">
        <v>44</v>
      </c>
      <c r="AB4" s="6" t="s">
        <v>47</v>
      </c>
      <c r="AC4" s="6" t="s">
        <v>50</v>
      </c>
      <c r="AD4" s="6" t="s">
        <v>53</v>
      </c>
      <c r="AE4" s="6" t="s">
        <v>56</v>
      </c>
      <c r="AF4" s="6" t="s">
        <v>58</v>
      </c>
      <c r="AG4" s="6" t="s">
        <v>59</v>
      </c>
      <c r="AH4" s="6" t="s">
        <v>60</v>
      </c>
      <c r="AI4" s="6" t="s">
        <v>61</v>
      </c>
      <c r="AJ4" s="6" t="s">
        <v>64</v>
      </c>
      <c r="AK4" s="6" t="s">
        <v>105</v>
      </c>
      <c r="AL4" s="6" t="s">
        <v>107</v>
      </c>
      <c r="AM4" s="6" t="s">
        <v>110</v>
      </c>
      <c r="AN4" s="6" t="s">
        <v>111</v>
      </c>
      <c r="AO4" s="6" t="s">
        <v>112</v>
      </c>
      <c r="AP4" s="6" t="s">
        <v>113</v>
      </c>
      <c r="AQ4" s="6" t="s">
        <v>114</v>
      </c>
      <c r="AR4" s="9" t="s">
        <v>115</v>
      </c>
      <c r="AS4" s="6" t="s">
        <v>116</v>
      </c>
      <c r="AT4" s="10" t="s">
        <v>117</v>
      </c>
      <c r="AU4" s="10" t="s">
        <v>118</v>
      </c>
      <c r="AV4" s="10" t="s">
        <v>121</v>
      </c>
      <c r="AW4" s="6" t="s">
        <v>123</v>
      </c>
      <c r="AX4" s="6" t="s">
        <v>66</v>
      </c>
      <c r="AY4" s="6" t="s">
        <v>126</v>
      </c>
    </row>
    <row r="5">
      <c r="A5" s="6" t="str">
        <f>NOMINA!A5</f>
        <v>900900001</v>
      </c>
      <c r="B5" s="6" t="str">
        <f>NOMINA!B5</f>
        <v>Valentina</v>
      </c>
      <c r="C5" s="6" t="str">
        <f>NOMINA!C5</f>
        <v>Arias</v>
      </c>
      <c r="D5" s="6" t="str">
        <f>PERSONAL!E5</f>
        <v/>
      </c>
      <c r="E5" s="6" t="str">
        <f>PERSONAL!F5</f>
        <v>F</v>
      </c>
      <c r="F5" s="6" t="str">
        <f>PERSONAL!G5</f>
        <v>Bogotá</v>
      </c>
      <c r="G5" s="6" t="str">
        <f>PERSONAL!H5</f>
        <v>Universitario</v>
      </c>
      <c r="H5" s="6" t="str">
        <f>PERSONAL!I5</f>
        <v>Soltero</v>
      </c>
      <c r="I5" s="6">
        <f>PERSONAL!J5</f>
        <v>0</v>
      </c>
      <c r="J5" s="6" t="str">
        <f>PERSONAL!L5</f>
        <v>Tecnología</v>
      </c>
      <c r="K5" s="6" t="str">
        <f>PERSONAL!K5</f>
        <v>Desarrollador Senior</v>
      </c>
      <c r="L5" s="8">
        <f>PERSONAL!M5</f>
        <v>43143</v>
      </c>
      <c r="M5" s="6" t="str">
        <f>PERSONAL!N5</f>
        <v>Indefinido</v>
      </c>
      <c r="N5" s="6" t="str">
        <f>PERSONAL!O5</f>
        <v>Medio tiempo</v>
      </c>
      <c r="O5" s="6" t="str">
        <f>PERSONAL!P5</f>
        <v>Híbrido</v>
      </c>
      <c r="P5" s="6" t="str">
        <f>PERSONAL!Q5</f>
        <v>RETIRADO</v>
      </c>
      <c r="Q5" s="8">
        <f>PERSONAL!R5</f>
        <v>44548</v>
      </c>
      <c r="R5" s="6" t="str">
        <f>PERSONAL!S5</f>
        <v>Renuncia voluntaria</v>
      </c>
      <c r="S5" s="9">
        <f>NOMINA!H5</f>
        <v>7600000</v>
      </c>
      <c r="T5" s="9">
        <f>NOMINA!I5</f>
        <v>40000</v>
      </c>
      <c r="U5" s="9">
        <f>NOMINA!J5</f>
        <v>72000</v>
      </c>
      <c r="V5" s="9">
        <f>NOMINA!L5</f>
        <v>623760</v>
      </c>
      <c r="W5" s="9">
        <f>S5+T5+U5+NOMINA!K5</f>
        <v>7797000</v>
      </c>
      <c r="X5" s="9">
        <f t="shared" ref="X5:X34" si="1">W5-V5</f>
        <v>7173240</v>
      </c>
      <c r="Y5" s="6">
        <f>RRHH!C5</f>
        <v>88</v>
      </c>
      <c r="Z5" s="6">
        <f>RRHH!D5</f>
        <v>5</v>
      </c>
      <c r="AA5" s="6">
        <f>RRHH!E5</f>
        <v>5</v>
      </c>
      <c r="AB5" s="6">
        <f>RRHH!F5</f>
        <v>4</v>
      </c>
      <c r="AC5" s="6">
        <f>RRHH!G5</f>
        <v>4</v>
      </c>
      <c r="AD5" s="6">
        <f>RRHH!H5</f>
        <v>2</v>
      </c>
      <c r="AE5" s="6">
        <f>RRHH!I5</f>
        <v>1</v>
      </c>
      <c r="AF5" s="6">
        <f>RRHH!J5</f>
        <v>2</v>
      </c>
      <c r="AG5" s="6">
        <f>RRHH!K5</f>
        <v>0</v>
      </c>
      <c r="AH5" s="6">
        <f>RRHH!L5</f>
        <v>9</v>
      </c>
      <c r="AI5" s="6">
        <f>RRHH!M5</f>
        <v>2</v>
      </c>
      <c r="AJ5" s="6">
        <f>RRHH!P5</f>
        <v>5</v>
      </c>
      <c r="AK5" s="6" t="str">
        <f>CONTRATACION!M5</f>
        <v>LinkedIn</v>
      </c>
      <c r="AL5" s="6">
        <f>CONTRATACION!N5</f>
        <v>8</v>
      </c>
      <c r="AM5" s="6">
        <f>CONTRATACION!P5</f>
        <v>90</v>
      </c>
      <c r="AN5" s="6">
        <f>CONTRATACION!Q5</f>
        <v>98.8</v>
      </c>
      <c r="AO5" s="6">
        <f>CONTRATACION!R5</f>
        <v>85</v>
      </c>
      <c r="AP5" s="6">
        <f>CONTRATACION!S5</f>
        <v>1</v>
      </c>
      <c r="AQ5" s="6">
        <f>CONTRATACION!U5</f>
        <v>7600000</v>
      </c>
      <c r="AR5" s="9" t="str">
        <f>CONTRATACION!X5</f>
        <v/>
      </c>
      <c r="AS5" s="6">
        <f t="shared" ref="AS5:AS34" si="2">IF(P5="RETIRADO",Q5-L5,DATE(2026,9,1)-L5)</f>
        <v>1405</v>
      </c>
      <c r="AT5" s="10">
        <f t="shared" ref="AT5:AT34" si="3">AS5/30.4375</f>
        <v>46.16016427</v>
      </c>
      <c r="AU5" s="10">
        <f t="shared" ref="AU5:AU34" si="4">AT5/12</f>
        <v>3.846680356</v>
      </c>
      <c r="AV5" s="10" t="str">
        <f t="shared" ref="AV5:AV34" si="5">IF(AT5&lt;6,"Menos de 6 meses",IF(AT5&lt;12,"6 a 12 meses",IF(AT5&lt;24,"1 a 2 años",IF(AT5&lt;36,"2 a 3 años",IF(AT5&lt;60,"3 a 5 años","Más de 5 años")))))</f>
        <v>3 a 5 años</v>
      </c>
      <c r="AW5" s="6">
        <f t="shared" ref="AW5:AW34" si="6">IF(P5="RETIRADO",1,0)</f>
        <v>1</v>
      </c>
      <c r="AX5" s="6" t="str">
        <f t="shared" ref="AX5:AX34" si="7">IF(AY5&gt;=0.67,"ALTO",IF(AY5&gt;=0.4,"MEDIO","BAJO"))</f>
        <v>BAJO</v>
      </c>
      <c r="AY5" s="6">
        <f t="shared" ref="AY5:AY34" si="8">D5*0.05+(5-Z5)/5*0.25+(5-AA5)/5*0.2+(5-AB5)/5*0.15+MIN(AC5/15,1)*0.15+IF(M5="Temporal",0.12,IF(M5="Fijo",0.05,0))+(IF(X5&lt;3000000,0.08,0))</f>
        <v>0.07</v>
      </c>
    </row>
    <row r="6">
      <c r="A6" s="6" t="str">
        <f>NOMINA!A6</f>
        <v>900900002</v>
      </c>
      <c r="B6" s="6" t="str">
        <f>NOMINA!B6</f>
        <v>Mateo</v>
      </c>
      <c r="C6" s="6" t="str">
        <f>NOMINA!C6</f>
        <v>Bustos</v>
      </c>
      <c r="D6" s="6" t="str">
        <f>PERSONAL!E6</f>
        <v/>
      </c>
      <c r="E6" s="6" t="str">
        <f>PERSONAL!F6</f>
        <v>M</v>
      </c>
      <c r="F6" s="6" t="str">
        <f>PERSONAL!G6</f>
        <v>Medellín</v>
      </c>
      <c r="G6" s="6" t="str">
        <f>PERSONAL!H6</f>
        <v>Universitario</v>
      </c>
      <c r="H6" s="6" t="str">
        <f>PERSONAL!I6</f>
        <v>Casado</v>
      </c>
      <c r="I6" s="6">
        <f>PERSONAL!J6</f>
        <v>1</v>
      </c>
      <c r="J6" s="6" t="str">
        <f>PERSONAL!L6</f>
        <v>Finanzas</v>
      </c>
      <c r="K6" s="6" t="str">
        <f>PERSONAL!K6</f>
        <v>Analista Financiero</v>
      </c>
      <c r="L6" s="8">
        <f>PERSONAL!M6</f>
        <v>43997</v>
      </c>
      <c r="M6" s="6" t="str">
        <f>PERSONAL!N6</f>
        <v>Indefinido</v>
      </c>
      <c r="N6" s="6" t="str">
        <f>PERSONAL!O6</f>
        <v>Medio tiempo</v>
      </c>
      <c r="O6" s="6" t="str">
        <f>PERSONAL!P6</f>
        <v>Híbrido</v>
      </c>
      <c r="P6" s="6" t="str">
        <f>PERSONAL!Q6</f>
        <v>RETIRADO</v>
      </c>
      <c r="Q6" s="8">
        <f>PERSONAL!R6</f>
        <v>45063</v>
      </c>
      <c r="R6" s="6" t="str">
        <f>PERSONAL!S6</f>
        <v>Mejor oportunidad laboral</v>
      </c>
      <c r="S6" s="9">
        <f>NOMINA!H6</f>
        <v>4300000</v>
      </c>
      <c r="T6" s="9">
        <f>NOMINA!I6</f>
        <v>20000</v>
      </c>
      <c r="U6" s="9">
        <f>NOMINA!J6</f>
        <v>30000</v>
      </c>
      <c r="V6" s="9">
        <f>NOMINA!L6</f>
        <v>375275</v>
      </c>
      <c r="W6" s="9">
        <f>S6+T6+U6+NOMINA!K6</f>
        <v>4415000</v>
      </c>
      <c r="X6" s="9">
        <f t="shared" si="1"/>
        <v>4039725</v>
      </c>
      <c r="Y6" s="6">
        <f>RRHH!C6</f>
        <v>83</v>
      </c>
      <c r="Z6" s="6">
        <f>RRHH!D6</f>
        <v>4</v>
      </c>
      <c r="AA6" s="6">
        <f>RRHH!E6</f>
        <v>4</v>
      </c>
      <c r="AB6" s="6">
        <f>RRHH!F6</f>
        <v>4</v>
      </c>
      <c r="AC6" s="6">
        <f>RRHH!G6</f>
        <v>3</v>
      </c>
      <c r="AD6" s="6">
        <f>RRHH!H6</f>
        <v>1</v>
      </c>
      <c r="AE6" s="6">
        <f>RRHH!I6</f>
        <v>1</v>
      </c>
      <c r="AF6" s="6">
        <f>RRHH!J6</f>
        <v>1</v>
      </c>
      <c r="AG6" s="6">
        <f>RRHH!K6</f>
        <v>0</v>
      </c>
      <c r="AH6" s="6">
        <f>RRHH!L6</f>
        <v>8</v>
      </c>
      <c r="AI6" s="6">
        <f>RRHH!M6</f>
        <v>1</v>
      </c>
      <c r="AJ6" s="6">
        <f>RRHH!P6</f>
        <v>5</v>
      </c>
      <c r="AK6" s="6" t="str">
        <f>CONTRATACION!M6</f>
        <v>Referido interno</v>
      </c>
      <c r="AL6" s="6">
        <f>CONTRATACION!N6</f>
        <v>4</v>
      </c>
      <c r="AM6" s="6">
        <f>CONTRATACION!P6</f>
        <v>86</v>
      </c>
      <c r="AN6" s="6">
        <f>CONTRATACION!Q6</f>
        <v>95</v>
      </c>
      <c r="AO6" s="6">
        <f>CONTRATACION!R6</f>
        <v>82</v>
      </c>
      <c r="AP6" s="6">
        <f>CONTRATACION!S6</f>
        <v>2</v>
      </c>
      <c r="AQ6" s="6">
        <f>CONTRATACION!U6</f>
        <v>4300000</v>
      </c>
      <c r="AR6" s="9" t="str">
        <f>CONTRATACION!X6</f>
        <v/>
      </c>
      <c r="AS6" s="6">
        <f t="shared" si="2"/>
        <v>1066</v>
      </c>
      <c r="AT6" s="10">
        <f t="shared" si="3"/>
        <v>35.02258727</v>
      </c>
      <c r="AU6" s="10">
        <f t="shared" si="4"/>
        <v>2.918548939</v>
      </c>
      <c r="AV6" s="10" t="str">
        <f t="shared" si="5"/>
        <v>2 a 3 años</v>
      </c>
      <c r="AW6" s="6">
        <f t="shared" si="6"/>
        <v>1</v>
      </c>
      <c r="AX6" s="6" t="str">
        <f t="shared" si="7"/>
        <v>BAJO</v>
      </c>
      <c r="AY6" s="6">
        <f t="shared" si="8"/>
        <v>0.15</v>
      </c>
    </row>
    <row r="7">
      <c r="A7" s="6" t="str">
        <f>NOMINA!A7</f>
        <v>900900003</v>
      </c>
      <c r="B7" s="6" t="str">
        <f>NOMINA!B7</f>
        <v>Sofía</v>
      </c>
      <c r="C7" s="6" t="str">
        <f>NOMINA!C7</f>
        <v>Cárdenas</v>
      </c>
      <c r="D7" s="6" t="str">
        <f>PERSONAL!E7</f>
        <v/>
      </c>
      <c r="E7" s="6" t="str">
        <f>PERSONAL!F7</f>
        <v>F</v>
      </c>
      <c r="F7" s="6" t="str">
        <f>PERSONAL!G7</f>
        <v>Cali</v>
      </c>
      <c r="G7" s="6" t="str">
        <f>PERSONAL!H7</f>
        <v>Universitario</v>
      </c>
      <c r="H7" s="6" t="str">
        <f>PERSONAL!I7</f>
        <v>Unión libre</v>
      </c>
      <c r="I7" s="6">
        <f>PERSONAL!J7</f>
        <v>2</v>
      </c>
      <c r="J7" s="6" t="str">
        <f>PERSONAL!L7</f>
        <v>Comercial</v>
      </c>
      <c r="K7" s="6" t="str">
        <f>PERSONAL!K7</f>
        <v>Ejecutivo Comercial</v>
      </c>
      <c r="L7" s="8">
        <f>PERSONAL!M7</f>
        <v>44214</v>
      </c>
      <c r="M7" s="6" t="str">
        <f>PERSONAL!N7</f>
        <v>Fijo</v>
      </c>
      <c r="N7" s="6" t="str">
        <f>PERSONAL!O7</f>
        <v>Medio tiempo</v>
      </c>
      <c r="O7" s="6" t="str">
        <f>PERSONAL!P7</f>
        <v>Presencial</v>
      </c>
      <c r="P7" s="6" t="str">
        <f>PERSONAL!Q7</f>
        <v>RETIRADO</v>
      </c>
      <c r="Q7" s="8">
        <f>PERSONAL!R7</f>
        <v>45219</v>
      </c>
      <c r="R7" s="6" t="str">
        <f>PERSONAL!S7</f>
        <v>Cambio de ciudad</v>
      </c>
      <c r="S7" s="9">
        <f>NOMINA!H7</f>
        <v>3900000</v>
      </c>
      <c r="T7" s="9">
        <f>NOMINA!I7</f>
        <v>60000</v>
      </c>
      <c r="U7" s="9">
        <f>NOMINA!J7</f>
        <v>45000</v>
      </c>
      <c r="V7" s="9">
        <f>NOMINA!L7</f>
        <v>365400</v>
      </c>
      <c r="W7" s="9">
        <f>S7+T7+U7+NOMINA!K7</f>
        <v>4060000</v>
      </c>
      <c r="X7" s="9">
        <f t="shared" si="1"/>
        <v>3694600</v>
      </c>
      <c r="Y7" s="6">
        <f>RRHH!C7</f>
        <v>81</v>
      </c>
      <c r="Z7" s="6">
        <f>RRHH!D7</f>
        <v>4</v>
      </c>
      <c r="AA7" s="6">
        <f>RRHH!E7</f>
        <v>4</v>
      </c>
      <c r="AB7" s="6">
        <f>RRHH!F7</f>
        <v>4</v>
      </c>
      <c r="AC7" s="6">
        <f>RRHH!G7</f>
        <v>5</v>
      </c>
      <c r="AD7" s="6">
        <f>RRHH!H7</f>
        <v>2</v>
      </c>
      <c r="AE7" s="6">
        <f>RRHH!I7</f>
        <v>1</v>
      </c>
      <c r="AF7" s="6">
        <f>RRHH!J7</f>
        <v>1</v>
      </c>
      <c r="AG7" s="6">
        <f>RRHH!K7</f>
        <v>0</v>
      </c>
      <c r="AH7" s="6">
        <f>RRHH!L7</f>
        <v>10</v>
      </c>
      <c r="AI7" s="6">
        <f>RRHH!M7</f>
        <v>2</v>
      </c>
      <c r="AJ7" s="6">
        <f>RRHH!P7</f>
        <v>5</v>
      </c>
      <c r="AK7" s="6" t="str">
        <f>CONTRATACION!M7</f>
        <v>Portal de empleo</v>
      </c>
      <c r="AL7" s="6">
        <f>CONTRATACION!N7</f>
        <v>5</v>
      </c>
      <c r="AM7" s="6">
        <f>CONTRATACION!P7</f>
        <v>88</v>
      </c>
      <c r="AN7" s="6">
        <f>CONTRATACION!Q7</f>
        <v>94.3</v>
      </c>
      <c r="AO7" s="6">
        <f>CONTRATACION!R7</f>
        <v>84</v>
      </c>
      <c r="AP7" s="6">
        <f>CONTRATACION!S7</f>
        <v>2</v>
      </c>
      <c r="AQ7" s="6">
        <f>CONTRATACION!U7</f>
        <v>3900000</v>
      </c>
      <c r="AR7" s="9" t="str">
        <f>CONTRATACION!X7</f>
        <v/>
      </c>
      <c r="AS7" s="6">
        <f t="shared" si="2"/>
        <v>1005</v>
      </c>
      <c r="AT7" s="10">
        <f t="shared" si="3"/>
        <v>33.01848049</v>
      </c>
      <c r="AU7" s="10">
        <f t="shared" si="4"/>
        <v>2.751540041</v>
      </c>
      <c r="AV7" s="10" t="str">
        <f t="shared" si="5"/>
        <v>2 a 3 años</v>
      </c>
      <c r="AW7" s="6">
        <f t="shared" si="6"/>
        <v>1</v>
      </c>
      <c r="AX7" s="6" t="str">
        <f t="shared" si="7"/>
        <v>BAJO</v>
      </c>
      <c r="AY7" s="6">
        <f t="shared" si="8"/>
        <v>0.22</v>
      </c>
    </row>
    <row r="8">
      <c r="A8" s="6" t="str">
        <f>NOMINA!A8</f>
        <v>900900004</v>
      </c>
      <c r="B8" s="6" t="str">
        <f>NOMINA!B8</f>
        <v>Santiago</v>
      </c>
      <c r="C8" s="6" t="str">
        <f>NOMINA!C8</f>
        <v>Duarte</v>
      </c>
      <c r="D8" s="6">
        <f>PERSONAL!E8</f>
        <v>46</v>
      </c>
      <c r="E8" s="6" t="str">
        <f>PERSONAL!F8</f>
        <v>M</v>
      </c>
      <c r="F8" s="6" t="str">
        <f>PERSONAL!G8</f>
        <v>Barranquilla</v>
      </c>
      <c r="G8" s="6" t="str">
        <f>PERSONAL!H8</f>
        <v>Universitario</v>
      </c>
      <c r="H8" s="6" t="str">
        <f>PERSONAL!I8</f>
        <v>Soltero</v>
      </c>
      <c r="I8" s="6">
        <f>PERSONAL!J8</f>
        <v>3</v>
      </c>
      <c r="J8" s="6" t="str">
        <f>PERSONAL!L8</f>
        <v>Operaciones</v>
      </c>
      <c r="K8" s="6" t="str">
        <f>PERSONAL!K8</f>
        <v>Coordinador de Operaciones</v>
      </c>
      <c r="L8" s="8">
        <f>PERSONAL!M8</f>
        <v>42982</v>
      </c>
      <c r="M8" s="6" t="str">
        <f>PERSONAL!N8</f>
        <v>Indefinido</v>
      </c>
      <c r="N8" s="6" t="str">
        <f>PERSONAL!O8</f>
        <v>Medio tiempo</v>
      </c>
      <c r="O8" s="6" t="str">
        <f>PERSONAL!P8</f>
        <v>Presencial</v>
      </c>
      <c r="P8" s="6" t="str">
        <f>PERSONAL!Q8</f>
        <v>RETIRADO</v>
      </c>
      <c r="Q8" s="8">
        <f>PERSONAL!R8</f>
        <v>44657</v>
      </c>
      <c r="R8" s="6" t="str">
        <f>PERSONAL!S8</f>
        <v>Renuncia voluntaria</v>
      </c>
      <c r="S8" s="9">
        <f>NOMINA!H8</f>
        <v>5200000</v>
      </c>
      <c r="T8" s="9">
        <f>NOMINA!I8</f>
        <v>30000</v>
      </c>
      <c r="U8" s="9">
        <f>NOMINA!J8</f>
        <v>25000</v>
      </c>
      <c r="V8" s="9">
        <f>NOMINA!L8</f>
        <v>427600</v>
      </c>
      <c r="W8" s="9">
        <f>S8+T8+U8+NOMINA!K8</f>
        <v>5345000</v>
      </c>
      <c r="X8" s="9">
        <f t="shared" si="1"/>
        <v>4917400</v>
      </c>
      <c r="Y8" s="6">
        <f>RRHH!C8</f>
        <v>91</v>
      </c>
      <c r="Z8" s="6">
        <f>RRHH!D8</f>
        <v>5</v>
      </c>
      <c r="AA8" s="6">
        <f>RRHH!E8</f>
        <v>5</v>
      </c>
      <c r="AB8" s="6">
        <f>RRHH!F8</f>
        <v>4</v>
      </c>
      <c r="AC8" s="6">
        <f>RRHH!G8</f>
        <v>2</v>
      </c>
      <c r="AD8" s="6">
        <f>RRHH!H8</f>
        <v>1</v>
      </c>
      <c r="AE8" s="6">
        <f>RRHH!I8</f>
        <v>2</v>
      </c>
      <c r="AF8" s="6">
        <f>RRHH!J8</f>
        <v>3</v>
      </c>
      <c r="AG8" s="6">
        <f>RRHH!K8</f>
        <v>0</v>
      </c>
      <c r="AH8" s="6">
        <f>RRHH!L8</f>
        <v>8</v>
      </c>
      <c r="AI8" s="6">
        <f>RRHH!M8</f>
        <v>2</v>
      </c>
      <c r="AJ8" s="6">
        <f>RRHH!P8</f>
        <v>5</v>
      </c>
      <c r="AK8" s="6" t="str">
        <f>CONTRATACION!M8</f>
        <v>Referido interno</v>
      </c>
      <c r="AL8" s="6">
        <f>CONTRATACION!N8</f>
        <v>9</v>
      </c>
      <c r="AM8" s="6">
        <f>CONTRATACION!P8</f>
        <v>96</v>
      </c>
      <c r="AN8" s="6">
        <f>CONTRATACION!Q8</f>
        <v>99.8</v>
      </c>
      <c r="AO8" s="6">
        <f>CONTRATACION!R8</f>
        <v>91</v>
      </c>
      <c r="AP8" s="6">
        <f>CONTRATACION!S8</f>
        <v>2</v>
      </c>
      <c r="AQ8" s="6">
        <f>CONTRATACION!U8</f>
        <v>5200000</v>
      </c>
      <c r="AR8" s="9">
        <f>CONTRATACION!X8</f>
        <v>35</v>
      </c>
      <c r="AS8" s="6">
        <f t="shared" si="2"/>
        <v>1675</v>
      </c>
      <c r="AT8" s="10">
        <f t="shared" si="3"/>
        <v>55.03080082</v>
      </c>
      <c r="AU8" s="10">
        <f t="shared" si="4"/>
        <v>4.585900068</v>
      </c>
      <c r="AV8" s="10" t="str">
        <f t="shared" si="5"/>
        <v>3 a 5 años</v>
      </c>
      <c r="AW8" s="6">
        <f t="shared" si="6"/>
        <v>1</v>
      </c>
      <c r="AX8" s="6" t="str">
        <f t="shared" si="7"/>
        <v>ALTO</v>
      </c>
      <c r="AY8" s="6">
        <f t="shared" si="8"/>
        <v>2.35</v>
      </c>
    </row>
    <row r="9">
      <c r="A9" s="6" t="str">
        <f>NOMINA!A9</f>
        <v>900900005</v>
      </c>
      <c r="B9" s="6" t="str">
        <f>NOMINA!B9</f>
        <v>Mariana</v>
      </c>
      <c r="C9" s="6" t="str">
        <f>NOMINA!C9</f>
        <v>Estrada</v>
      </c>
      <c r="D9" s="6">
        <f>PERSONAL!E9</f>
        <v>45</v>
      </c>
      <c r="E9" s="6" t="str">
        <f>PERSONAL!F9</f>
        <v>F</v>
      </c>
      <c r="F9" s="6" t="str">
        <f>PERSONAL!G9</f>
        <v>Bucaramanga</v>
      </c>
      <c r="G9" s="6" t="str">
        <f>PERSONAL!H9</f>
        <v>Universitario</v>
      </c>
      <c r="H9" s="6" t="str">
        <f>PERSONAL!I9</f>
        <v>Casado</v>
      </c>
      <c r="I9" s="6">
        <f>PERSONAL!J9</f>
        <v>0</v>
      </c>
      <c r="J9" s="6" t="str">
        <f>PERSONAL!L9</f>
        <v>Recursos Humanos</v>
      </c>
      <c r="K9" s="6" t="str">
        <f>PERSONAL!K9</f>
        <v>Analista de Selección</v>
      </c>
      <c r="L9" s="8">
        <f>PERSONAL!M9</f>
        <v>44641</v>
      </c>
      <c r="M9" s="6" t="str">
        <f>PERSONAL!N9</f>
        <v>Fijo</v>
      </c>
      <c r="N9" s="6" t="str">
        <f>PERSONAL!O9</f>
        <v>Medio tiempo</v>
      </c>
      <c r="O9" s="6" t="str">
        <f>PERSONAL!P9</f>
        <v>Híbrido</v>
      </c>
      <c r="P9" s="6" t="str">
        <f>PERSONAL!Q9</f>
        <v>RETIRADO</v>
      </c>
      <c r="Q9" s="8">
        <f>PERSONAL!R9</f>
        <v>45502</v>
      </c>
      <c r="R9" s="6" t="str">
        <f>PERSONAL!S9</f>
        <v>Renuncia voluntaria</v>
      </c>
      <c r="S9" s="9">
        <f>NOMINA!H9</f>
        <v>3600000</v>
      </c>
      <c r="T9" s="9">
        <f>NOMINA!I9</f>
        <v>40000</v>
      </c>
      <c r="U9" s="9">
        <f>NOMINA!J9</f>
        <v>18000</v>
      </c>
      <c r="V9" s="9">
        <f>NOMINA!L9</f>
        <v>314755</v>
      </c>
      <c r="W9" s="9">
        <f>S9+T9+U9+NOMINA!K9</f>
        <v>3703000</v>
      </c>
      <c r="X9" s="9">
        <f t="shared" si="1"/>
        <v>3388245</v>
      </c>
      <c r="Y9" s="6">
        <f>RRHH!C9</f>
        <v>87</v>
      </c>
      <c r="Z9" s="6">
        <f>RRHH!D9</f>
        <v>4</v>
      </c>
      <c r="AA9" s="6">
        <f>RRHH!E9</f>
        <v>5</v>
      </c>
      <c r="AB9" s="6">
        <f>RRHH!F9</f>
        <v>4</v>
      </c>
      <c r="AC9" s="6">
        <f>RRHH!G9</f>
        <v>3</v>
      </c>
      <c r="AD9" s="6">
        <f>RRHH!H9</f>
        <v>1</v>
      </c>
      <c r="AE9" s="6">
        <f>RRHH!I9</f>
        <v>1</v>
      </c>
      <c r="AF9" s="6">
        <f>RRHH!J9</f>
        <v>2</v>
      </c>
      <c r="AG9" s="6">
        <f>RRHH!K9</f>
        <v>0</v>
      </c>
      <c r="AH9" s="6">
        <f>RRHH!L9</f>
        <v>8</v>
      </c>
      <c r="AI9" s="6">
        <f>RRHH!M9</f>
        <v>2</v>
      </c>
      <c r="AJ9" s="6">
        <f>RRHH!P9</f>
        <v>5</v>
      </c>
      <c r="AK9" s="6" t="str">
        <f>CONTRATACION!M9</f>
        <v>LinkedIn</v>
      </c>
      <c r="AL9" s="6">
        <f>CONTRATACION!N9</f>
        <v>3</v>
      </c>
      <c r="AM9" s="6">
        <f>CONTRATACION!P9</f>
        <v>92</v>
      </c>
      <c r="AN9" s="6">
        <f>CONTRATACION!Q9</f>
        <v>98.5</v>
      </c>
      <c r="AO9" s="6">
        <f>CONTRATACION!R9</f>
        <v>85</v>
      </c>
      <c r="AP9" s="6">
        <f>CONTRATACION!S9</f>
        <v>1</v>
      </c>
      <c r="AQ9" s="6">
        <f>CONTRATACION!U9</f>
        <v>3600000</v>
      </c>
      <c r="AR9" s="9">
        <f>CONTRATACION!X9</f>
        <v>36</v>
      </c>
      <c r="AS9" s="6">
        <f t="shared" si="2"/>
        <v>861</v>
      </c>
      <c r="AT9" s="10">
        <f t="shared" si="3"/>
        <v>28.28747433</v>
      </c>
      <c r="AU9" s="10">
        <f t="shared" si="4"/>
        <v>2.357289528</v>
      </c>
      <c r="AV9" s="10" t="str">
        <f t="shared" si="5"/>
        <v>2 a 3 años</v>
      </c>
      <c r="AW9" s="6">
        <f t="shared" si="6"/>
        <v>1</v>
      </c>
      <c r="AX9" s="6" t="str">
        <f t="shared" si="7"/>
        <v>ALTO</v>
      </c>
      <c r="AY9" s="6">
        <f t="shared" si="8"/>
        <v>2.41</v>
      </c>
    </row>
    <row r="10">
      <c r="A10" s="6" t="str">
        <f>NOMINA!A10</f>
        <v>900900006</v>
      </c>
      <c r="B10" s="6" t="str">
        <f>NOMINA!B10</f>
        <v>Nicolás</v>
      </c>
      <c r="C10" s="6" t="str">
        <f>NOMINA!C10</f>
        <v>Franco</v>
      </c>
      <c r="D10" s="6">
        <f>PERSONAL!E10</f>
        <v>44</v>
      </c>
      <c r="E10" s="6" t="str">
        <f>PERSONAL!F10</f>
        <v>M</v>
      </c>
      <c r="F10" s="6" t="str">
        <f>PERSONAL!G10</f>
        <v>Bogotá</v>
      </c>
      <c r="G10" s="6" t="str">
        <f>PERSONAL!H10</f>
        <v>Técnico</v>
      </c>
      <c r="H10" s="6" t="str">
        <f>PERSONAL!I10</f>
        <v>Unión libre</v>
      </c>
      <c r="I10" s="6">
        <f>PERSONAL!J10</f>
        <v>1</v>
      </c>
      <c r="J10" s="6" t="str">
        <f>PERSONAL!L10</f>
        <v>Logística</v>
      </c>
      <c r="K10" s="6" t="str">
        <f>PERSONAL!K10</f>
        <v>Auxiliar Logístico</v>
      </c>
      <c r="L10" s="8">
        <f>PERSONAL!M10</f>
        <v>45117</v>
      </c>
      <c r="M10" s="6" t="str">
        <f>PERSONAL!N10</f>
        <v>Temporal</v>
      </c>
      <c r="N10" s="6" t="str">
        <f>PERSONAL!O10</f>
        <v>Medio tiempo</v>
      </c>
      <c r="O10" s="6" t="str">
        <f>PERSONAL!P10</f>
        <v>Presencial</v>
      </c>
      <c r="P10" s="6" t="str">
        <f>PERSONAL!Q10</f>
        <v>RETIRADO</v>
      </c>
      <c r="Q10" s="8">
        <f>PERSONAL!R10</f>
        <v>45749</v>
      </c>
      <c r="R10" s="6" t="str">
        <f>PERSONAL!S10</f>
        <v>Terminación de contrato</v>
      </c>
      <c r="S10" s="9">
        <f>NOMINA!H10</f>
        <v>2100000</v>
      </c>
      <c r="T10" s="9">
        <f>NOMINA!I10</f>
        <v>10000</v>
      </c>
      <c r="U10" s="9">
        <f>NOMINA!J10</f>
        <v>60000</v>
      </c>
      <c r="V10" s="9">
        <f>NOMINA!L10</f>
        <v>198000</v>
      </c>
      <c r="W10" s="9">
        <f>S10+T10+U10+NOMINA!K10</f>
        <v>2200000</v>
      </c>
      <c r="X10" s="9">
        <f t="shared" si="1"/>
        <v>2002000</v>
      </c>
      <c r="Y10" s="6">
        <f>RRHH!C10</f>
        <v>72</v>
      </c>
      <c r="Z10" s="6">
        <f>RRHH!D10</f>
        <v>3</v>
      </c>
      <c r="AA10" s="6">
        <f>RRHH!E10</f>
        <v>3</v>
      </c>
      <c r="AB10" s="6">
        <f>RRHH!F10</f>
        <v>3</v>
      </c>
      <c r="AC10" s="6">
        <f>RRHH!G10</f>
        <v>8</v>
      </c>
      <c r="AD10" s="6">
        <f>RRHH!H10</f>
        <v>3</v>
      </c>
      <c r="AE10" s="6">
        <f>RRHH!I10</f>
        <v>0</v>
      </c>
      <c r="AF10" s="6">
        <f>RRHH!J10</f>
        <v>0</v>
      </c>
      <c r="AG10" s="6">
        <f>RRHH!K10</f>
        <v>1</v>
      </c>
      <c r="AH10" s="6">
        <f>RRHH!L10</f>
        <v>9</v>
      </c>
      <c r="AI10" s="6">
        <f>RRHH!M10</f>
        <v>1</v>
      </c>
      <c r="AJ10" s="6">
        <f>RRHH!P10</f>
        <v>4</v>
      </c>
      <c r="AK10" s="6" t="str">
        <f>CONTRATACION!M10</f>
        <v>Agencia de empleo</v>
      </c>
      <c r="AL10" s="6">
        <f>CONTRATACION!N10</f>
        <v>2</v>
      </c>
      <c r="AM10" s="6">
        <f>CONTRATACION!P10</f>
        <v>78</v>
      </c>
      <c r="AN10" s="6">
        <f>CONTRATACION!Q10</f>
        <v>89.2</v>
      </c>
      <c r="AO10" s="6">
        <f>CONTRATACION!R10</f>
        <v>77</v>
      </c>
      <c r="AP10" s="6">
        <f>CONTRATACION!S10</f>
        <v>2</v>
      </c>
      <c r="AQ10" s="6">
        <f>CONTRATACION!U10</f>
        <v>2100000</v>
      </c>
      <c r="AR10" s="9">
        <f>CONTRATACION!X10</f>
        <v>37</v>
      </c>
      <c r="AS10" s="6">
        <f t="shared" si="2"/>
        <v>632</v>
      </c>
      <c r="AT10" s="10">
        <f t="shared" si="3"/>
        <v>20.76386037</v>
      </c>
      <c r="AU10" s="10">
        <f t="shared" si="4"/>
        <v>1.730321697</v>
      </c>
      <c r="AV10" s="10" t="str">
        <f t="shared" si="5"/>
        <v>1 a 2 años</v>
      </c>
      <c r="AW10" s="6">
        <f t="shared" si="6"/>
        <v>1</v>
      </c>
      <c r="AX10" s="6" t="str">
        <f t="shared" si="7"/>
        <v>ALTO</v>
      </c>
      <c r="AY10" s="6">
        <f t="shared" si="8"/>
        <v>2.72</v>
      </c>
    </row>
    <row r="11">
      <c r="A11" s="6" t="str">
        <f>NOMINA!A11</f>
        <v>900900007</v>
      </c>
      <c r="B11" s="6" t="str">
        <f>NOMINA!B11</f>
        <v>Camila</v>
      </c>
      <c r="C11" s="6" t="str">
        <f>NOMINA!C11</f>
        <v>Gómez</v>
      </c>
      <c r="D11" s="6">
        <f>PERSONAL!E11</f>
        <v>43</v>
      </c>
      <c r="E11" s="6" t="str">
        <f>PERSONAL!F11</f>
        <v>F</v>
      </c>
      <c r="F11" s="6" t="str">
        <f>PERSONAL!G11</f>
        <v>Medellín</v>
      </c>
      <c r="G11" s="6" t="str">
        <f>PERSONAL!H11</f>
        <v>Universitario</v>
      </c>
      <c r="H11" s="6" t="str">
        <f>PERSONAL!I11</f>
        <v>Soltero</v>
      </c>
      <c r="I11" s="6">
        <f>PERSONAL!J11</f>
        <v>2</v>
      </c>
      <c r="J11" s="6" t="str">
        <f>PERSONAL!L11</f>
        <v>Marketing</v>
      </c>
      <c r="K11" s="6" t="str">
        <f>PERSONAL!K11</f>
        <v>Especialista de Marketing</v>
      </c>
      <c r="L11" s="8">
        <f>PERSONAL!M11</f>
        <v>43794</v>
      </c>
      <c r="M11" s="6" t="str">
        <f>PERSONAL!N11</f>
        <v>Indefinido</v>
      </c>
      <c r="N11" s="6" t="str">
        <f>PERSONAL!O11</f>
        <v>Medio tiempo</v>
      </c>
      <c r="O11" s="6" t="str">
        <f>PERSONAL!P11</f>
        <v>Remoto</v>
      </c>
      <c r="P11" s="6" t="str">
        <f>PERSONAL!Q11</f>
        <v>RETIRADO</v>
      </c>
      <c r="Q11" s="8">
        <f>PERSONAL!R11</f>
        <v>45203</v>
      </c>
      <c r="R11" s="6" t="str">
        <f>PERSONAL!S11</f>
        <v>Mejor oportunidad laboral</v>
      </c>
      <c r="S11" s="9">
        <f>NOMINA!H11</f>
        <v>4800000</v>
      </c>
      <c r="T11" s="9">
        <f>NOMINA!I11</f>
        <v>50000</v>
      </c>
      <c r="U11" s="9">
        <f>NOMINA!J11</f>
        <v>20000</v>
      </c>
      <c r="V11" s="9">
        <f>NOMINA!L11</f>
        <v>394400</v>
      </c>
      <c r="W11" s="9">
        <f>S11+T11+U11+NOMINA!K11</f>
        <v>4930000</v>
      </c>
      <c r="X11" s="9">
        <f t="shared" si="1"/>
        <v>4535600</v>
      </c>
      <c r="Y11" s="6">
        <f>RRHH!C11</f>
        <v>93</v>
      </c>
      <c r="Z11" s="6">
        <f>RRHH!D11</f>
        <v>5</v>
      </c>
      <c r="AA11" s="6">
        <f>RRHH!E11</f>
        <v>4</v>
      </c>
      <c r="AB11" s="6">
        <f>RRHH!F11</f>
        <v>5</v>
      </c>
      <c r="AC11" s="6">
        <f>RRHH!G11</f>
        <v>2</v>
      </c>
      <c r="AD11" s="6">
        <f>RRHH!H11</f>
        <v>0</v>
      </c>
      <c r="AE11" s="6">
        <f>RRHH!I11</f>
        <v>2</v>
      </c>
      <c r="AF11" s="6">
        <f>RRHH!J11</f>
        <v>4</v>
      </c>
      <c r="AG11" s="6">
        <f>RRHH!K11</f>
        <v>0</v>
      </c>
      <c r="AH11" s="6">
        <f>RRHH!L11</f>
        <v>8</v>
      </c>
      <c r="AI11" s="6">
        <f>RRHH!M11</f>
        <v>2</v>
      </c>
      <c r="AJ11" s="6">
        <f>RRHH!P11</f>
        <v>5</v>
      </c>
      <c r="AK11" s="6" t="str">
        <f>CONTRATACION!M11</f>
        <v>LinkedIn</v>
      </c>
      <c r="AL11" s="6">
        <f>CONTRATACION!N11</f>
        <v>6</v>
      </c>
      <c r="AM11" s="6">
        <f>CONTRATACION!P11</f>
        <v>92</v>
      </c>
      <c r="AN11" s="6">
        <f>CONTRATACION!Q11</f>
        <v>98.5</v>
      </c>
      <c r="AO11" s="6">
        <f>CONTRATACION!R11</f>
        <v>84</v>
      </c>
      <c r="AP11" s="6">
        <f>CONTRATACION!S11</f>
        <v>2</v>
      </c>
      <c r="AQ11" s="6">
        <f>CONTRATACION!U11</f>
        <v>4800000</v>
      </c>
      <c r="AR11" s="9">
        <f>CONTRATACION!X11</f>
        <v>38</v>
      </c>
      <c r="AS11" s="6">
        <f t="shared" si="2"/>
        <v>1409</v>
      </c>
      <c r="AT11" s="10">
        <f t="shared" si="3"/>
        <v>46.29158111</v>
      </c>
      <c r="AU11" s="10">
        <f t="shared" si="4"/>
        <v>3.857631759</v>
      </c>
      <c r="AV11" s="10" t="str">
        <f t="shared" si="5"/>
        <v>3 a 5 años</v>
      </c>
      <c r="AW11" s="6">
        <f t="shared" si="6"/>
        <v>1</v>
      </c>
      <c r="AX11" s="6" t="str">
        <f t="shared" si="7"/>
        <v>ALTO</v>
      </c>
      <c r="AY11" s="6">
        <f t="shared" si="8"/>
        <v>2.21</v>
      </c>
    </row>
    <row r="12">
      <c r="A12" s="6" t="str">
        <f>NOMINA!A12</f>
        <v>900900008</v>
      </c>
      <c r="B12" s="6" t="str">
        <f>NOMINA!B12</f>
        <v>Tomás</v>
      </c>
      <c r="C12" s="6" t="str">
        <f>NOMINA!C12</f>
        <v>Herrera</v>
      </c>
      <c r="D12" s="6">
        <f>PERSONAL!E12</f>
        <v>42</v>
      </c>
      <c r="E12" s="6" t="str">
        <f>PERSONAL!F12</f>
        <v>M</v>
      </c>
      <c r="F12" s="6" t="str">
        <f>PERSONAL!G12</f>
        <v>Cali</v>
      </c>
      <c r="G12" s="6" t="str">
        <f>PERSONAL!H12</f>
        <v>Técnico</v>
      </c>
      <c r="H12" s="6" t="str">
        <f>PERSONAL!I12</f>
        <v>Casado</v>
      </c>
      <c r="I12" s="6">
        <f>PERSONAL!J12</f>
        <v>3</v>
      </c>
      <c r="J12" s="6" t="str">
        <f>PERSONAL!L12</f>
        <v>Servicio al Cliente</v>
      </c>
      <c r="K12" s="6" t="str">
        <f>PERSONAL!K12</f>
        <v>Agente de Servicio</v>
      </c>
      <c r="L12" s="8">
        <f>PERSONAL!M12</f>
        <v>45327</v>
      </c>
      <c r="M12" s="6" t="str">
        <f>PERSONAL!N12</f>
        <v>Fijo</v>
      </c>
      <c r="N12" s="6" t="str">
        <f>PERSONAL!O12</f>
        <v>Medio tiempo</v>
      </c>
      <c r="O12" s="6" t="str">
        <f>PERSONAL!P12</f>
        <v>Presencial</v>
      </c>
      <c r="P12" s="6" t="str">
        <f>PERSONAL!Q12</f>
        <v>RETIRADO</v>
      </c>
      <c r="Q12" s="8">
        <f>PERSONAL!R12</f>
        <v>45881</v>
      </c>
      <c r="R12" s="6" t="str">
        <f>PERSONAL!S12</f>
        <v>Renuncia voluntaria</v>
      </c>
      <c r="S12" s="9">
        <f>NOMINA!H12</f>
        <v>2400000</v>
      </c>
      <c r="T12" s="9">
        <f>NOMINA!I12</f>
        <v>10000</v>
      </c>
      <c r="U12" s="9">
        <f>NOMINA!J12</f>
        <v>70000</v>
      </c>
      <c r="V12" s="9">
        <f>NOMINA!L12</f>
        <v>212925</v>
      </c>
      <c r="W12" s="9">
        <f>S12+T12+U12+NOMINA!K12</f>
        <v>2505000</v>
      </c>
      <c r="X12" s="9">
        <f t="shared" si="1"/>
        <v>2292075</v>
      </c>
      <c r="Y12" s="6">
        <f>RRHH!C12</f>
        <v>68</v>
      </c>
      <c r="Z12" s="6">
        <f>RRHH!D12</f>
        <v>3</v>
      </c>
      <c r="AA12" s="6">
        <f>RRHH!E12</f>
        <v>3</v>
      </c>
      <c r="AB12" s="6">
        <f>RRHH!F12</f>
        <v>3</v>
      </c>
      <c r="AC12" s="6">
        <f>RRHH!G12</f>
        <v>10</v>
      </c>
      <c r="AD12" s="6">
        <f>RRHH!H12</f>
        <v>4</v>
      </c>
      <c r="AE12" s="6">
        <f>RRHH!I12</f>
        <v>0</v>
      </c>
      <c r="AF12" s="6">
        <f>RRHH!J12</f>
        <v>0</v>
      </c>
      <c r="AG12" s="6">
        <f>RRHH!K12</f>
        <v>2</v>
      </c>
      <c r="AH12" s="6">
        <f>RRHH!L12</f>
        <v>9</v>
      </c>
      <c r="AI12" s="6">
        <f>RRHH!M12</f>
        <v>1</v>
      </c>
      <c r="AJ12" s="6">
        <f>RRHH!P12</f>
        <v>4</v>
      </c>
      <c r="AK12" s="6" t="str">
        <f>CONTRATACION!M12</f>
        <v>Portal de empleo</v>
      </c>
      <c r="AL12" s="6">
        <f>CONTRATACION!N12</f>
        <v>1</v>
      </c>
      <c r="AM12" s="6">
        <f>CONTRATACION!P12</f>
        <v>82</v>
      </c>
      <c r="AN12" s="6">
        <f>CONTRATACION!Q12</f>
        <v>87.8</v>
      </c>
      <c r="AO12" s="6">
        <f>CONTRATACION!R12</f>
        <v>81</v>
      </c>
      <c r="AP12" s="6">
        <f>CONTRATACION!S12</f>
        <v>2</v>
      </c>
      <c r="AQ12" s="6">
        <f>CONTRATACION!U12</f>
        <v>2400000</v>
      </c>
      <c r="AR12" s="9">
        <f>CONTRATACION!X12</f>
        <v>39</v>
      </c>
      <c r="AS12" s="6">
        <f t="shared" si="2"/>
        <v>554</v>
      </c>
      <c r="AT12" s="10">
        <f t="shared" si="3"/>
        <v>18.20123203</v>
      </c>
      <c r="AU12" s="10">
        <f t="shared" si="4"/>
        <v>1.516769336</v>
      </c>
      <c r="AV12" s="10" t="str">
        <f t="shared" si="5"/>
        <v>1 a 2 años</v>
      </c>
      <c r="AW12" s="6">
        <f t="shared" si="6"/>
        <v>1</v>
      </c>
      <c r="AX12" s="6" t="str">
        <f t="shared" si="7"/>
        <v>ALTO</v>
      </c>
      <c r="AY12" s="6">
        <f t="shared" si="8"/>
        <v>2.57</v>
      </c>
    </row>
    <row r="13">
      <c r="A13" s="6" t="str">
        <f>NOMINA!A13</f>
        <v>900900009</v>
      </c>
      <c r="B13" s="6" t="str">
        <f>NOMINA!B13</f>
        <v>Isabella</v>
      </c>
      <c r="C13" s="6" t="str">
        <f>NOMINA!C13</f>
        <v>Ibarra</v>
      </c>
      <c r="D13" s="6">
        <f>PERSONAL!E13</f>
        <v>41</v>
      </c>
      <c r="E13" s="6" t="str">
        <f>PERSONAL!F13</f>
        <v>F</v>
      </c>
      <c r="F13" s="6" t="str">
        <f>PERSONAL!G13</f>
        <v>Barranquilla</v>
      </c>
      <c r="G13" s="6" t="str">
        <f>PERSONAL!H13</f>
        <v>Universitario</v>
      </c>
      <c r="H13" s="6" t="str">
        <f>PERSONAL!I13</f>
        <v>Unión libre</v>
      </c>
      <c r="I13" s="6">
        <f>PERSONAL!J13</f>
        <v>0</v>
      </c>
      <c r="J13" s="6" t="str">
        <f>PERSONAL!L13</f>
        <v>Contabilidad</v>
      </c>
      <c r="K13" s="6" t="str">
        <f>PERSONAL!K13</f>
        <v>Contador</v>
      </c>
      <c r="L13" s="8">
        <f>PERSONAL!M13</f>
        <v>42506</v>
      </c>
      <c r="M13" s="6" t="str">
        <f>PERSONAL!N13</f>
        <v>Indefinido</v>
      </c>
      <c r="N13" s="6" t="str">
        <f>PERSONAL!O13</f>
        <v>Medio tiempo</v>
      </c>
      <c r="O13" s="6" t="str">
        <f>PERSONAL!P13</f>
        <v>Híbrido</v>
      </c>
      <c r="P13" s="6" t="str">
        <f>PERSONAL!Q13</f>
        <v>RETIRADO</v>
      </c>
      <c r="Q13" s="8">
        <f>PERSONAL!R13</f>
        <v>44198</v>
      </c>
      <c r="R13" s="6" t="str">
        <f>PERSONAL!S13</f>
        <v>Jubilación</v>
      </c>
      <c r="S13" s="9">
        <f>NOMINA!H13</f>
        <v>6100000</v>
      </c>
      <c r="T13" s="9">
        <f>NOMINA!I13</f>
        <v>30000</v>
      </c>
      <c r="U13" s="9">
        <f>NOMINA!J13</f>
        <v>15000</v>
      </c>
      <c r="V13" s="9">
        <f>NOMINA!L13</f>
        <v>559350</v>
      </c>
      <c r="W13" s="9">
        <f>S13+T13+U13+NOMINA!K13</f>
        <v>6215000</v>
      </c>
      <c r="X13" s="9">
        <f t="shared" si="1"/>
        <v>5655650</v>
      </c>
      <c r="Y13" s="6">
        <f>RRHH!C13</f>
        <v>95</v>
      </c>
      <c r="Z13" s="6">
        <f>RRHH!D13</f>
        <v>5</v>
      </c>
      <c r="AA13" s="6">
        <f>RRHH!E13</f>
        <v>5</v>
      </c>
      <c r="AB13" s="6">
        <f>RRHH!F13</f>
        <v>5</v>
      </c>
      <c r="AC13" s="6">
        <f>RRHH!G13</f>
        <v>1</v>
      </c>
      <c r="AD13" s="6">
        <f>RRHH!H13</f>
        <v>0</v>
      </c>
      <c r="AE13" s="6">
        <f>RRHH!I13</f>
        <v>3</v>
      </c>
      <c r="AF13" s="6">
        <f>RRHH!J13</f>
        <v>5</v>
      </c>
      <c r="AG13" s="6">
        <f>RRHH!K13</f>
        <v>0</v>
      </c>
      <c r="AH13" s="6">
        <f>RRHH!L13</f>
        <v>8</v>
      </c>
      <c r="AI13" s="6">
        <f>RRHH!M13</f>
        <v>3</v>
      </c>
      <c r="AJ13" s="6">
        <f>RRHH!P13</f>
        <v>5</v>
      </c>
      <c r="AK13" s="6" t="str">
        <f>CONTRATACION!M13</f>
        <v>Referido interno</v>
      </c>
      <c r="AL13" s="6">
        <f>CONTRATACION!N13</f>
        <v>10</v>
      </c>
      <c r="AM13" s="6">
        <f>CONTRATACION!P13</f>
        <v>96</v>
      </c>
      <c r="AN13" s="6">
        <f>CONTRATACION!Q13</f>
        <v>101.2</v>
      </c>
      <c r="AO13" s="6">
        <f>CONTRATACION!R13</f>
        <v>85</v>
      </c>
      <c r="AP13" s="6">
        <f>CONTRATACION!S13</f>
        <v>1</v>
      </c>
      <c r="AQ13" s="6">
        <f>CONTRATACION!U13</f>
        <v>6100000</v>
      </c>
      <c r="AR13" s="9">
        <f>CONTRATACION!X13</f>
        <v>40</v>
      </c>
      <c r="AS13" s="6">
        <f t="shared" si="2"/>
        <v>1692</v>
      </c>
      <c r="AT13" s="10">
        <f t="shared" si="3"/>
        <v>55.58932238</v>
      </c>
      <c r="AU13" s="10">
        <f t="shared" si="4"/>
        <v>4.632443532</v>
      </c>
      <c r="AV13" s="10" t="str">
        <f t="shared" si="5"/>
        <v>3 a 5 años</v>
      </c>
      <c r="AW13" s="6">
        <f t="shared" si="6"/>
        <v>1</v>
      </c>
      <c r="AX13" s="6" t="str">
        <f t="shared" si="7"/>
        <v>ALTO</v>
      </c>
      <c r="AY13" s="6">
        <f t="shared" si="8"/>
        <v>2.06</v>
      </c>
    </row>
    <row r="14">
      <c r="A14" s="6" t="str">
        <f>NOMINA!A14</f>
        <v>900900010</v>
      </c>
      <c r="B14" s="6" t="str">
        <f>NOMINA!B14</f>
        <v>Daniel</v>
      </c>
      <c r="C14" s="6" t="str">
        <f>NOMINA!C14</f>
        <v>Jiménez</v>
      </c>
      <c r="D14" s="6">
        <f>PERSONAL!E14</f>
        <v>40</v>
      </c>
      <c r="E14" s="6" t="str">
        <f>PERSONAL!F14</f>
        <v>M</v>
      </c>
      <c r="F14" s="6" t="str">
        <f>PERSONAL!G14</f>
        <v>Bucaramanga</v>
      </c>
      <c r="G14" s="6" t="str">
        <f>PERSONAL!H14</f>
        <v>Universitario</v>
      </c>
      <c r="H14" s="6" t="str">
        <f>PERSONAL!I14</f>
        <v>Soltero</v>
      </c>
      <c r="I14" s="6">
        <f>PERSONAL!J14</f>
        <v>1</v>
      </c>
      <c r="J14" s="6" t="str">
        <f>PERSONAL!L14</f>
        <v>Compras</v>
      </c>
      <c r="K14" s="6" t="str">
        <f>PERSONAL!K14</f>
        <v>Analista de Compras</v>
      </c>
      <c r="L14" s="8">
        <f>PERSONAL!M14</f>
        <v>44816</v>
      </c>
      <c r="M14" s="6" t="str">
        <f>PERSONAL!N14</f>
        <v>Fijo</v>
      </c>
      <c r="N14" s="6" t="str">
        <f>PERSONAL!O14</f>
        <v>Medio tiempo</v>
      </c>
      <c r="O14" s="6" t="str">
        <f>PERSONAL!P14</f>
        <v>Híbrido</v>
      </c>
      <c r="P14" s="6" t="str">
        <f>PERSONAL!Q14</f>
        <v>RETIRADO</v>
      </c>
      <c r="Q14" s="8">
        <f>PERSONAL!R14</f>
        <v>45498</v>
      </c>
      <c r="R14" s="6" t="str">
        <f>PERSONAL!S14</f>
        <v>Renuncia voluntaria</v>
      </c>
      <c r="S14" s="9">
        <f>NOMINA!H14</f>
        <v>3500000</v>
      </c>
      <c r="T14" s="9">
        <f>NOMINA!I14</f>
        <v>20000</v>
      </c>
      <c r="U14" s="9">
        <f>NOMINA!J14</f>
        <v>28000</v>
      </c>
      <c r="V14" s="9">
        <f>NOMINA!L14</f>
        <v>287840</v>
      </c>
      <c r="W14" s="9">
        <f>S14+T14+U14+NOMINA!K14</f>
        <v>3598000</v>
      </c>
      <c r="X14" s="9">
        <f t="shared" si="1"/>
        <v>3310160</v>
      </c>
      <c r="Y14" s="6">
        <f>RRHH!C14</f>
        <v>79</v>
      </c>
      <c r="Z14" s="6">
        <f>RRHH!D14</f>
        <v>4</v>
      </c>
      <c r="AA14" s="6">
        <f>RRHH!E14</f>
        <v>4</v>
      </c>
      <c r="AB14" s="6">
        <f>RRHH!F14</f>
        <v>3</v>
      </c>
      <c r="AC14" s="6">
        <f>RRHH!G14</f>
        <v>4</v>
      </c>
      <c r="AD14" s="6">
        <f>RRHH!H14</f>
        <v>2</v>
      </c>
      <c r="AE14" s="6">
        <f>RRHH!I14</f>
        <v>1</v>
      </c>
      <c r="AF14" s="6">
        <f>RRHH!J14</f>
        <v>1</v>
      </c>
      <c r="AG14" s="6">
        <f>RRHH!K14</f>
        <v>0</v>
      </c>
      <c r="AH14" s="6">
        <f>RRHH!L14</f>
        <v>8</v>
      </c>
      <c r="AI14" s="6">
        <f>RRHH!M14</f>
        <v>2</v>
      </c>
      <c r="AJ14" s="6">
        <f>RRHH!P14</f>
        <v>5</v>
      </c>
      <c r="AK14" s="6" t="str">
        <f>CONTRATACION!M14</f>
        <v>Portal de empleo</v>
      </c>
      <c r="AL14" s="6">
        <f>CONTRATACION!N14</f>
        <v>4</v>
      </c>
      <c r="AM14" s="6">
        <f>CONTRATACION!P14</f>
        <v>92</v>
      </c>
      <c r="AN14" s="6">
        <f>CONTRATACION!Q14</f>
        <v>93.7</v>
      </c>
      <c r="AO14" s="6">
        <f>CONTRATACION!R14</f>
        <v>82</v>
      </c>
      <c r="AP14" s="6">
        <f>CONTRATACION!S14</f>
        <v>2</v>
      </c>
      <c r="AQ14" s="6">
        <f>CONTRATACION!U14</f>
        <v>3500000</v>
      </c>
      <c r="AR14" s="9">
        <f>CONTRATACION!X14</f>
        <v>41</v>
      </c>
      <c r="AS14" s="6">
        <f t="shared" si="2"/>
        <v>682</v>
      </c>
      <c r="AT14" s="10">
        <f t="shared" si="3"/>
        <v>22.40657084</v>
      </c>
      <c r="AU14" s="10">
        <f t="shared" si="4"/>
        <v>1.867214237</v>
      </c>
      <c r="AV14" s="10" t="str">
        <f t="shared" si="5"/>
        <v>1 a 2 años</v>
      </c>
      <c r="AW14" s="6">
        <f t="shared" si="6"/>
        <v>1</v>
      </c>
      <c r="AX14" s="6" t="str">
        <f t="shared" si="7"/>
        <v>ALTO</v>
      </c>
      <c r="AY14" s="6">
        <f t="shared" si="8"/>
        <v>2.24</v>
      </c>
    </row>
    <row r="15">
      <c r="A15" s="6" t="str">
        <f>NOMINA!A15</f>
        <v>900900011</v>
      </c>
      <c r="B15" s="6" t="str">
        <f>NOMINA!B15</f>
        <v>Luciana</v>
      </c>
      <c r="C15" s="6" t="str">
        <f>NOMINA!C15</f>
        <v>López</v>
      </c>
      <c r="D15" s="6">
        <f>PERSONAL!E15</f>
        <v>39</v>
      </c>
      <c r="E15" s="6" t="str">
        <f>PERSONAL!F15</f>
        <v>F</v>
      </c>
      <c r="F15" s="6" t="str">
        <f>PERSONAL!G15</f>
        <v>Bogotá</v>
      </c>
      <c r="G15" s="6" t="str">
        <f>PERSONAL!H15</f>
        <v>Técnico</v>
      </c>
      <c r="H15" s="6" t="str">
        <f>PERSONAL!I15</f>
        <v>Casado</v>
      </c>
      <c r="I15" s="6">
        <f>PERSONAL!J15</f>
        <v>2</v>
      </c>
      <c r="J15" s="6" t="str">
        <f>PERSONAL!L15</f>
        <v>Administración</v>
      </c>
      <c r="K15" s="6" t="str">
        <f>PERSONAL!K15</f>
        <v>Asistente Administrativo</v>
      </c>
      <c r="L15" s="8">
        <f>PERSONAL!M15</f>
        <v>45236</v>
      </c>
      <c r="M15" s="6" t="str">
        <f>PERSONAL!N15</f>
        <v>Temporal</v>
      </c>
      <c r="N15" s="6" t="str">
        <f>PERSONAL!O15</f>
        <v>Medio tiempo</v>
      </c>
      <c r="O15" s="6" t="str">
        <f>PERSONAL!P15</f>
        <v>Presencial</v>
      </c>
      <c r="P15" s="6" t="str">
        <f>PERSONAL!Q15</f>
        <v>RETIRADO</v>
      </c>
      <c r="Q15" s="8">
        <f>PERSONAL!R15</f>
        <v>45741</v>
      </c>
      <c r="R15" s="6" t="str">
        <f>PERSONAL!S15</f>
        <v>Bajo desempeño</v>
      </c>
      <c r="S15" s="9">
        <f>NOMINA!H15</f>
        <v>2300000</v>
      </c>
      <c r="T15" s="9">
        <f>NOMINA!I15</f>
        <v>10000</v>
      </c>
      <c r="U15" s="9">
        <f>NOMINA!J15</f>
        <v>40000</v>
      </c>
      <c r="V15" s="9">
        <f>NOMINA!L15</f>
        <v>202300</v>
      </c>
      <c r="W15" s="9">
        <f>S15+T15+U15+NOMINA!K15</f>
        <v>2380000</v>
      </c>
      <c r="X15" s="9">
        <f t="shared" si="1"/>
        <v>2177700</v>
      </c>
      <c r="Y15" s="6">
        <f>RRHH!C15</f>
        <v>70</v>
      </c>
      <c r="Z15" s="6">
        <f>RRHH!D15</f>
        <v>3</v>
      </c>
      <c r="AA15" s="6">
        <f>RRHH!E15</f>
        <v>3</v>
      </c>
      <c r="AB15" s="6">
        <f>RRHH!F15</f>
        <v>3</v>
      </c>
      <c r="AC15" s="6">
        <f>RRHH!G15</f>
        <v>9</v>
      </c>
      <c r="AD15" s="6">
        <f>RRHH!H15</f>
        <v>3</v>
      </c>
      <c r="AE15" s="6">
        <f>RRHH!I15</f>
        <v>0</v>
      </c>
      <c r="AF15" s="6">
        <f>RRHH!J15</f>
        <v>0</v>
      </c>
      <c r="AG15" s="6">
        <f>RRHH!K15</f>
        <v>1</v>
      </c>
      <c r="AH15" s="6">
        <f>RRHH!L15</f>
        <v>9</v>
      </c>
      <c r="AI15" s="6">
        <f>RRHH!M15</f>
        <v>1</v>
      </c>
      <c r="AJ15" s="6">
        <f>RRHH!P15</f>
        <v>4</v>
      </c>
      <c r="AK15" s="6" t="str">
        <f>CONTRATACION!M15</f>
        <v>Agencia de empleo</v>
      </c>
      <c r="AL15" s="6">
        <f>CONTRATACION!N15</f>
        <v>2</v>
      </c>
      <c r="AM15" s="6">
        <f>CONTRATACION!P15</f>
        <v>78</v>
      </c>
      <c r="AN15" s="6">
        <f>CONTRATACION!Q15</f>
        <v>88.5</v>
      </c>
      <c r="AO15" s="6">
        <f>CONTRATACION!R15</f>
        <v>79</v>
      </c>
      <c r="AP15" s="6">
        <f>CONTRATACION!S15</f>
        <v>2</v>
      </c>
      <c r="AQ15" s="6">
        <f>CONTRATACION!U15</f>
        <v>2300000</v>
      </c>
      <c r="AR15" s="9">
        <f>CONTRATACION!X15</f>
        <v>42</v>
      </c>
      <c r="AS15" s="6">
        <f t="shared" si="2"/>
        <v>505</v>
      </c>
      <c r="AT15" s="10">
        <f t="shared" si="3"/>
        <v>16.59137577</v>
      </c>
      <c r="AU15" s="10">
        <f t="shared" si="4"/>
        <v>1.382614648</v>
      </c>
      <c r="AV15" s="10" t="str">
        <f t="shared" si="5"/>
        <v>1 a 2 años</v>
      </c>
      <c r="AW15" s="6">
        <f t="shared" si="6"/>
        <v>1</v>
      </c>
      <c r="AX15" s="6" t="str">
        <f t="shared" si="7"/>
        <v>ALTO</v>
      </c>
      <c r="AY15" s="6">
        <f t="shared" si="8"/>
        <v>2.48</v>
      </c>
    </row>
    <row r="16">
      <c r="A16" s="6" t="str">
        <f>NOMINA!A16</f>
        <v>900900012</v>
      </c>
      <c r="B16" s="6" t="str">
        <f>NOMINA!B16</f>
        <v>Emiliano</v>
      </c>
      <c r="C16" s="6" t="str">
        <f>NOMINA!C16</f>
        <v>Márquez</v>
      </c>
      <c r="D16" s="6">
        <f>PERSONAL!E16</f>
        <v>37</v>
      </c>
      <c r="E16" s="6" t="str">
        <f>PERSONAL!F16</f>
        <v>M</v>
      </c>
      <c r="F16" s="6" t="str">
        <f>PERSONAL!G16</f>
        <v>Medellín</v>
      </c>
      <c r="G16" s="6" t="str">
        <f>PERSONAL!H16</f>
        <v>Universitario</v>
      </c>
      <c r="H16" s="6" t="str">
        <f>PERSONAL!I16</f>
        <v>Unión libre</v>
      </c>
      <c r="I16" s="6">
        <f>PERSONAL!J16</f>
        <v>3</v>
      </c>
      <c r="J16" s="6" t="str">
        <f>PERSONAL!L16</f>
        <v>Tecnología</v>
      </c>
      <c r="K16" s="6" t="str">
        <f>PERSONAL!K16</f>
        <v>Ingeniero de Datos</v>
      </c>
      <c r="L16" s="8">
        <f>PERSONAL!M16</f>
        <v>43563</v>
      </c>
      <c r="M16" s="6" t="str">
        <f>PERSONAL!N16</f>
        <v>Indefinido</v>
      </c>
      <c r="N16" s="6" t="str">
        <f>PERSONAL!O16</f>
        <v>Medio tiempo</v>
      </c>
      <c r="O16" s="6" t="str">
        <f>PERSONAL!P16</f>
        <v>Remoto</v>
      </c>
      <c r="P16" s="6" t="str">
        <f>PERSONAL!Q16</f>
        <v>RETIRADO</v>
      </c>
      <c r="Q16" s="8">
        <f>PERSONAL!R16</f>
        <v>44942</v>
      </c>
      <c r="R16" s="6" t="str">
        <f>PERSONAL!S16</f>
        <v>Renuncia voluntaria</v>
      </c>
      <c r="S16" s="9">
        <f>NOMINA!H16</f>
        <v>7200000</v>
      </c>
      <c r="T16" s="9">
        <f>NOMINA!I16</f>
        <v>40000</v>
      </c>
      <c r="U16" s="9">
        <f>NOMINA!J16</f>
        <v>35000</v>
      </c>
      <c r="V16" s="9">
        <f>NOMINA!L16</f>
        <v>661950</v>
      </c>
      <c r="W16" s="9">
        <f>S16+T16+U16+NOMINA!K16</f>
        <v>7355000</v>
      </c>
      <c r="X16" s="9">
        <f t="shared" si="1"/>
        <v>6693050</v>
      </c>
      <c r="Y16" s="6">
        <f>RRHH!C16</f>
        <v>94</v>
      </c>
      <c r="Z16" s="6">
        <f>RRHH!D16</f>
        <v>5</v>
      </c>
      <c r="AA16" s="6">
        <f>RRHH!E16</f>
        <v>5</v>
      </c>
      <c r="AB16" s="6">
        <f>RRHH!F16</f>
        <v>5</v>
      </c>
      <c r="AC16" s="6">
        <f>RRHH!G16</f>
        <v>2</v>
      </c>
      <c r="AD16" s="6">
        <f>RRHH!H16</f>
        <v>1</v>
      </c>
      <c r="AE16" s="6">
        <f>RRHH!I16</f>
        <v>2</v>
      </c>
      <c r="AF16" s="6">
        <f>RRHH!J16</f>
        <v>4</v>
      </c>
      <c r="AG16" s="6">
        <f>RRHH!K16</f>
        <v>0</v>
      </c>
      <c r="AH16" s="6">
        <f>RRHH!L16</f>
        <v>8</v>
      </c>
      <c r="AI16" s="6">
        <f>RRHH!M16</f>
        <v>3</v>
      </c>
      <c r="AJ16" s="6">
        <f>RRHH!P16</f>
        <v>5</v>
      </c>
      <c r="AK16" s="6" t="str">
        <f>CONTRATACION!M16</f>
        <v>LinkedIn</v>
      </c>
      <c r="AL16" s="6">
        <f>CONTRATACION!N16</f>
        <v>7</v>
      </c>
      <c r="AM16" s="6">
        <f>CONTRATACION!P16</f>
        <v>92</v>
      </c>
      <c r="AN16" s="6">
        <f>CONTRATACION!Q16</f>
        <v>100.9</v>
      </c>
      <c r="AO16" s="6">
        <f>CONTRATACION!R16</f>
        <v>91</v>
      </c>
      <c r="AP16" s="6">
        <f>CONTRATACION!S16</f>
        <v>2</v>
      </c>
      <c r="AQ16" s="6">
        <f>CONTRATACION!U16</f>
        <v>7200000</v>
      </c>
      <c r="AR16" s="9">
        <f>CONTRATACION!X16</f>
        <v>43</v>
      </c>
      <c r="AS16" s="6">
        <f t="shared" si="2"/>
        <v>1379</v>
      </c>
      <c r="AT16" s="10">
        <f t="shared" si="3"/>
        <v>45.30595483</v>
      </c>
      <c r="AU16" s="10">
        <f t="shared" si="4"/>
        <v>3.775496235</v>
      </c>
      <c r="AV16" s="10" t="str">
        <f t="shared" si="5"/>
        <v>3 a 5 años</v>
      </c>
      <c r="AW16" s="6">
        <f t="shared" si="6"/>
        <v>1</v>
      </c>
      <c r="AX16" s="6" t="str">
        <f t="shared" si="7"/>
        <v>ALTO</v>
      </c>
      <c r="AY16" s="6">
        <f t="shared" si="8"/>
        <v>1.87</v>
      </c>
    </row>
    <row r="17">
      <c r="A17" s="6" t="str">
        <f>NOMINA!A17</f>
        <v>900900013</v>
      </c>
      <c r="B17" s="6" t="str">
        <f>NOMINA!B17</f>
        <v>Antonia</v>
      </c>
      <c r="C17" s="6" t="str">
        <f>NOMINA!C17</f>
        <v>Navarro</v>
      </c>
      <c r="D17" s="6">
        <f>PERSONAL!E17</f>
        <v>36</v>
      </c>
      <c r="E17" s="6" t="str">
        <f>PERSONAL!F17</f>
        <v>F</v>
      </c>
      <c r="F17" s="6" t="str">
        <f>PERSONAL!G17</f>
        <v>Cali</v>
      </c>
      <c r="G17" s="6" t="str">
        <f>PERSONAL!H17</f>
        <v>Tecnólogo</v>
      </c>
      <c r="H17" s="6" t="str">
        <f>PERSONAL!I17</f>
        <v>Soltero</v>
      </c>
      <c r="I17" s="6">
        <f>PERSONAL!J17</f>
        <v>0</v>
      </c>
      <c r="J17" s="6" t="str">
        <f>PERSONAL!L17</f>
        <v>Operaciones</v>
      </c>
      <c r="K17" s="6" t="str">
        <f>PERSONAL!K17</f>
        <v>Supervisor de Planta</v>
      </c>
      <c r="L17" s="8">
        <f>PERSONAL!M17</f>
        <v>43395</v>
      </c>
      <c r="M17" s="6" t="str">
        <f>PERSONAL!N17</f>
        <v>Indefinido</v>
      </c>
      <c r="N17" s="6" t="str">
        <f>PERSONAL!O17</f>
        <v>Medio tiempo</v>
      </c>
      <c r="O17" s="6" t="str">
        <f>PERSONAL!P17</f>
        <v>Presencial</v>
      </c>
      <c r="P17" s="6" t="str">
        <f>PERSONAL!Q17</f>
        <v>RETIRADO</v>
      </c>
      <c r="Q17" s="8">
        <f>PERSONAL!R17</f>
        <v>44917</v>
      </c>
      <c r="R17" s="6" t="str">
        <f>PERSONAL!S17</f>
        <v>Motivos personales</v>
      </c>
      <c r="S17" s="9">
        <f>NOMINA!H17</f>
        <v>5600000</v>
      </c>
      <c r="T17" s="9">
        <f>NOMINA!I17</f>
        <v>30000</v>
      </c>
      <c r="U17" s="9">
        <f>NOMINA!J17</f>
        <v>22000</v>
      </c>
      <c r="V17" s="9">
        <f>NOMINA!L17</f>
        <v>458960</v>
      </c>
      <c r="W17" s="9">
        <f>S17+T17+U17+NOMINA!K17</f>
        <v>5737000</v>
      </c>
      <c r="X17" s="9">
        <f t="shared" si="1"/>
        <v>5278040</v>
      </c>
      <c r="Y17" s="6">
        <f>RRHH!C17</f>
        <v>86</v>
      </c>
      <c r="Z17" s="6">
        <f>RRHH!D17</f>
        <v>4</v>
      </c>
      <c r="AA17" s="6">
        <f>RRHH!E17</f>
        <v>4</v>
      </c>
      <c r="AB17" s="6">
        <f>RRHH!F17</f>
        <v>4</v>
      </c>
      <c r="AC17" s="6">
        <f>RRHH!G17</f>
        <v>3</v>
      </c>
      <c r="AD17" s="6">
        <f>RRHH!H17</f>
        <v>1</v>
      </c>
      <c r="AE17" s="6">
        <f>RRHH!I17</f>
        <v>2</v>
      </c>
      <c r="AF17" s="6">
        <f>RRHH!J17</f>
        <v>2</v>
      </c>
      <c r="AG17" s="6">
        <f>RRHH!K17</f>
        <v>0</v>
      </c>
      <c r="AH17" s="6">
        <f>RRHH!L17</f>
        <v>8</v>
      </c>
      <c r="AI17" s="6">
        <f>RRHH!M17</f>
        <v>2</v>
      </c>
      <c r="AJ17" s="6">
        <f>RRHH!P17</f>
        <v>5</v>
      </c>
      <c r="AK17" s="6" t="str">
        <f>CONTRATACION!M17</f>
        <v>Referido interno</v>
      </c>
      <c r="AL17" s="6">
        <f>CONTRATACION!N17</f>
        <v>8</v>
      </c>
      <c r="AM17" s="6">
        <f>CONTRATACION!P17</f>
        <v>88</v>
      </c>
      <c r="AN17" s="6">
        <f>CONTRATACION!Q17</f>
        <v>96.1</v>
      </c>
      <c r="AO17" s="6">
        <f>CONTRATACION!R17</f>
        <v>80</v>
      </c>
      <c r="AP17" s="6">
        <f>CONTRATACION!S17</f>
        <v>1</v>
      </c>
      <c r="AQ17" s="6">
        <f>CONTRATACION!U17</f>
        <v>5600000</v>
      </c>
      <c r="AR17" s="9">
        <f>CONTRATACION!X17</f>
        <v>44</v>
      </c>
      <c r="AS17" s="6">
        <f t="shared" si="2"/>
        <v>1522</v>
      </c>
      <c r="AT17" s="10">
        <f t="shared" si="3"/>
        <v>50.00410678</v>
      </c>
      <c r="AU17" s="10">
        <f t="shared" si="4"/>
        <v>4.167008898</v>
      </c>
      <c r="AV17" s="10" t="str">
        <f t="shared" si="5"/>
        <v>3 a 5 años</v>
      </c>
      <c r="AW17" s="6">
        <f t="shared" si="6"/>
        <v>1</v>
      </c>
      <c r="AX17" s="6" t="str">
        <f t="shared" si="7"/>
        <v>ALTO</v>
      </c>
      <c r="AY17" s="6">
        <f t="shared" si="8"/>
        <v>1.95</v>
      </c>
    </row>
    <row r="18">
      <c r="A18" s="6" t="str">
        <f>NOMINA!A18</f>
        <v>900900014</v>
      </c>
      <c r="B18" s="6" t="str">
        <f>NOMINA!B18</f>
        <v>Gabriel</v>
      </c>
      <c r="C18" s="6" t="str">
        <f>NOMINA!C18</f>
        <v>Ortega</v>
      </c>
      <c r="D18" s="6">
        <f>PERSONAL!E18</f>
        <v>35</v>
      </c>
      <c r="E18" s="6" t="str">
        <f>PERSONAL!F18</f>
        <v>M</v>
      </c>
      <c r="F18" s="6" t="str">
        <f>PERSONAL!G18</f>
        <v>Barranquilla</v>
      </c>
      <c r="G18" s="6" t="str">
        <f>PERSONAL!H18</f>
        <v>Técnico</v>
      </c>
      <c r="H18" s="6" t="str">
        <f>PERSONAL!I18</f>
        <v>Casado</v>
      </c>
      <c r="I18" s="6">
        <f>PERSONAL!J18</f>
        <v>1</v>
      </c>
      <c r="J18" s="6" t="str">
        <f>PERSONAL!L18</f>
        <v>Comercial</v>
      </c>
      <c r="K18" s="6" t="str">
        <f>PERSONAL!K18</f>
        <v>Asesor Comercial</v>
      </c>
      <c r="L18" s="8">
        <f>PERSONAL!M18</f>
        <v>45033</v>
      </c>
      <c r="M18" s="6" t="str">
        <f>PERSONAL!N18</f>
        <v>Fijo</v>
      </c>
      <c r="N18" s="6" t="str">
        <f>PERSONAL!O18</f>
        <v>Medio tiempo</v>
      </c>
      <c r="O18" s="6" t="str">
        <f>PERSONAL!P18</f>
        <v>Híbrido</v>
      </c>
      <c r="P18" s="6" t="str">
        <f>PERSONAL!Q18</f>
        <v>RETIRADO</v>
      </c>
      <c r="Q18" s="8">
        <f>PERSONAL!R18</f>
        <v>45711</v>
      </c>
      <c r="R18" s="6" t="str">
        <f>PERSONAL!S18</f>
        <v>Renuncia voluntaria</v>
      </c>
      <c r="S18" s="9">
        <f>NOMINA!H18</f>
        <v>2800000</v>
      </c>
      <c r="T18" s="9">
        <f>NOMINA!I18</f>
        <v>80000</v>
      </c>
      <c r="U18" s="9">
        <f>NOMINA!J18</f>
        <v>90000</v>
      </c>
      <c r="V18" s="9">
        <f>NOMINA!L18</f>
        <v>255425</v>
      </c>
      <c r="W18" s="9">
        <f>S18+T18+U18+NOMINA!K18</f>
        <v>3005000</v>
      </c>
      <c r="X18" s="9">
        <f t="shared" si="1"/>
        <v>2749575</v>
      </c>
      <c r="Y18" s="6">
        <f>RRHH!C18</f>
        <v>65</v>
      </c>
      <c r="Z18" s="6">
        <f>RRHH!D18</f>
        <v>3</v>
      </c>
      <c r="AA18" s="6">
        <f>RRHH!E18</f>
        <v>2</v>
      </c>
      <c r="AB18" s="6">
        <f>RRHH!F18</f>
        <v>3</v>
      </c>
      <c r="AC18" s="6">
        <f>RRHH!G18</f>
        <v>12</v>
      </c>
      <c r="AD18" s="6">
        <f>RRHH!H18</f>
        <v>4</v>
      </c>
      <c r="AE18" s="6">
        <f>RRHH!I18</f>
        <v>0</v>
      </c>
      <c r="AF18" s="6">
        <f>RRHH!J18</f>
        <v>0</v>
      </c>
      <c r="AG18" s="6">
        <f>RRHH!K18</f>
        <v>2</v>
      </c>
      <c r="AH18" s="6">
        <f>RRHH!L18</f>
        <v>10</v>
      </c>
      <c r="AI18" s="6">
        <f>RRHH!M18</f>
        <v>1</v>
      </c>
      <c r="AJ18" s="6">
        <f>RRHH!P18</f>
        <v>4</v>
      </c>
      <c r="AK18" s="6" t="str">
        <f>CONTRATACION!M18</f>
        <v>Redes sociales</v>
      </c>
      <c r="AL18" s="6">
        <f>CONTRATACION!N18</f>
        <v>3</v>
      </c>
      <c r="AM18" s="6">
        <f>CONTRATACION!P18</f>
        <v>84</v>
      </c>
      <c r="AN18" s="6">
        <f>CONTRATACION!Q18</f>
        <v>84.8</v>
      </c>
      <c r="AO18" s="6">
        <f>CONTRATACION!R18</f>
        <v>72</v>
      </c>
      <c r="AP18" s="6">
        <f>CONTRATACION!S18</f>
        <v>2</v>
      </c>
      <c r="AQ18" s="6">
        <f>CONTRATACION!U18</f>
        <v>2800000</v>
      </c>
      <c r="AR18" s="9">
        <f>CONTRATACION!X18</f>
        <v>35</v>
      </c>
      <c r="AS18" s="6">
        <f t="shared" si="2"/>
        <v>678</v>
      </c>
      <c r="AT18" s="10">
        <f t="shared" si="3"/>
        <v>22.275154</v>
      </c>
      <c r="AU18" s="10">
        <f t="shared" si="4"/>
        <v>1.856262834</v>
      </c>
      <c r="AV18" s="10" t="str">
        <f t="shared" si="5"/>
        <v>1 a 2 años</v>
      </c>
      <c r="AW18" s="6">
        <f t="shared" si="6"/>
        <v>1</v>
      </c>
      <c r="AX18" s="6" t="str">
        <f t="shared" si="7"/>
        <v>ALTO</v>
      </c>
      <c r="AY18" s="6">
        <f t="shared" si="8"/>
        <v>2.28</v>
      </c>
    </row>
    <row r="19">
      <c r="A19" s="6" t="str">
        <f>NOMINA!A19</f>
        <v>900900015</v>
      </c>
      <c r="B19" s="6" t="str">
        <f>NOMINA!B19</f>
        <v>Renata</v>
      </c>
      <c r="C19" s="6" t="str">
        <f>NOMINA!C19</f>
        <v>Pardo</v>
      </c>
      <c r="D19" s="6">
        <f>PERSONAL!E19</f>
        <v>34</v>
      </c>
      <c r="E19" s="6" t="str">
        <f>PERSONAL!F19</f>
        <v>F</v>
      </c>
      <c r="F19" s="6" t="str">
        <f>PERSONAL!G19</f>
        <v>Bucaramanga</v>
      </c>
      <c r="G19" s="6" t="str">
        <f>PERSONAL!H19</f>
        <v>Posgrado</v>
      </c>
      <c r="H19" s="6" t="str">
        <f>PERSONAL!I19</f>
        <v>Unión libre</v>
      </c>
      <c r="I19" s="6">
        <f>PERSONAL!J19</f>
        <v>2</v>
      </c>
      <c r="J19" s="6" t="str">
        <f>PERSONAL!L19</f>
        <v>Finanzas</v>
      </c>
      <c r="K19" s="6" t="str">
        <f>PERSONAL!K19</f>
        <v>Gerente Financiero</v>
      </c>
      <c r="L19" s="8">
        <f>PERSONAL!M19</f>
        <v>42023</v>
      </c>
      <c r="M19" s="6" t="str">
        <f>PERSONAL!N19</f>
        <v>Indefinido</v>
      </c>
      <c r="N19" s="6" t="str">
        <f>PERSONAL!O19</f>
        <v>Medio tiempo</v>
      </c>
      <c r="O19" s="6" t="str">
        <f>PERSONAL!P19</f>
        <v>Híbrido</v>
      </c>
      <c r="P19" s="6" t="str">
        <f>PERSONAL!Q19</f>
        <v>RETIRADO</v>
      </c>
      <c r="Q19" s="8">
        <f>PERSONAL!R19</f>
        <v>44442</v>
      </c>
      <c r="R19" s="6" t="str">
        <f>PERSONAL!S19</f>
        <v>Jubilación</v>
      </c>
      <c r="S19" s="9">
        <f>NOMINA!H19</f>
        <v>10500000</v>
      </c>
      <c r="T19" s="9">
        <f>NOMINA!I19</f>
        <v>60000</v>
      </c>
      <c r="U19" s="9">
        <f>NOMINA!J19</f>
        <v>10000</v>
      </c>
      <c r="V19" s="9">
        <f>NOMINA!L19</f>
        <v>962100</v>
      </c>
      <c r="W19" s="9">
        <f>S19+T19+U19+NOMINA!K19</f>
        <v>10690000</v>
      </c>
      <c r="X19" s="9">
        <f t="shared" si="1"/>
        <v>9727900</v>
      </c>
      <c r="Y19" s="6">
        <f>RRHH!C19</f>
        <v>97</v>
      </c>
      <c r="Z19" s="6">
        <f>RRHH!D19</f>
        <v>5</v>
      </c>
      <c r="AA19" s="6">
        <f>RRHH!E19</f>
        <v>5</v>
      </c>
      <c r="AB19" s="6">
        <f>RRHH!F19</f>
        <v>5</v>
      </c>
      <c r="AC19" s="6">
        <f>RRHH!G19</f>
        <v>1</v>
      </c>
      <c r="AD19" s="6">
        <f>RRHH!H19</f>
        <v>0</v>
      </c>
      <c r="AE19" s="6">
        <f>RRHH!I19</f>
        <v>4</v>
      </c>
      <c r="AF19" s="6">
        <f>RRHH!J19</f>
        <v>6</v>
      </c>
      <c r="AG19" s="6">
        <f>RRHH!K19</f>
        <v>0</v>
      </c>
      <c r="AH19" s="6">
        <f>RRHH!L19</f>
        <v>8</v>
      </c>
      <c r="AI19" s="6">
        <f>RRHH!M19</f>
        <v>3</v>
      </c>
      <c r="AJ19" s="6">
        <f>RRHH!P19</f>
        <v>5</v>
      </c>
      <c r="AK19" s="6" t="str">
        <f>CONTRATACION!M19</f>
        <v>Referido interno</v>
      </c>
      <c r="AL19" s="6">
        <f>CONTRATACION!N19</f>
        <v>14</v>
      </c>
      <c r="AM19" s="6">
        <f>CONTRATACION!P19</f>
        <v>98</v>
      </c>
      <c r="AN19" s="6">
        <f>CONTRATACION!Q19</f>
        <v>101.9</v>
      </c>
      <c r="AO19" s="6">
        <f>CONTRATACION!R19</f>
        <v>89</v>
      </c>
      <c r="AP19" s="6">
        <f>CONTRATACION!S19</f>
        <v>2</v>
      </c>
      <c r="AQ19" s="6">
        <f>CONTRATACION!U19</f>
        <v>10500000</v>
      </c>
      <c r="AR19" s="9">
        <f>CONTRATACION!X19</f>
        <v>36</v>
      </c>
      <c r="AS19" s="6">
        <f t="shared" si="2"/>
        <v>2419</v>
      </c>
      <c r="AT19" s="10">
        <f t="shared" si="3"/>
        <v>79.47433265</v>
      </c>
      <c r="AU19" s="10">
        <f t="shared" si="4"/>
        <v>6.622861054</v>
      </c>
      <c r="AV19" s="10" t="str">
        <f t="shared" si="5"/>
        <v>Más de 5 años</v>
      </c>
      <c r="AW19" s="6">
        <f t="shared" si="6"/>
        <v>1</v>
      </c>
      <c r="AX19" s="6" t="str">
        <f t="shared" si="7"/>
        <v>ALTO</v>
      </c>
      <c r="AY19" s="6">
        <f t="shared" si="8"/>
        <v>1.71</v>
      </c>
    </row>
    <row r="20">
      <c r="A20" s="6" t="str">
        <f>NOMINA!A20</f>
        <v>900900016</v>
      </c>
      <c r="B20" s="6" t="str">
        <f>NOMINA!B20</f>
        <v>Samuel</v>
      </c>
      <c r="C20" s="6" t="str">
        <f>NOMINA!C20</f>
        <v>Quintero</v>
      </c>
      <c r="D20" s="6">
        <f>PERSONAL!E20</f>
        <v>34</v>
      </c>
      <c r="E20" s="6" t="str">
        <f>PERSONAL!F20</f>
        <v>M</v>
      </c>
      <c r="F20" s="6" t="str">
        <f>PERSONAL!G20</f>
        <v>Bogotá</v>
      </c>
      <c r="G20" s="6" t="str">
        <f>PERSONAL!H20</f>
        <v>Universitario</v>
      </c>
      <c r="H20" s="6" t="str">
        <f>PERSONAL!I20</f>
        <v>Soltero</v>
      </c>
      <c r="I20" s="6">
        <f>PERSONAL!J20</f>
        <v>3</v>
      </c>
      <c r="J20" s="6" t="str">
        <f>PERSONAL!L20</f>
        <v>Servicio al Cliente</v>
      </c>
      <c r="K20" s="6" t="str">
        <f>PERSONAL!K20</f>
        <v>Coordinador de Servicio</v>
      </c>
      <c r="L20" s="8">
        <f>PERSONAL!M20</f>
        <v>44046</v>
      </c>
      <c r="M20" s="6" t="str">
        <f>PERSONAL!N20</f>
        <v>Fijo</v>
      </c>
      <c r="N20" s="6" t="str">
        <f>PERSONAL!O20</f>
        <v>Medio tiempo</v>
      </c>
      <c r="O20" s="6" t="str">
        <f>PERSONAL!P20</f>
        <v>Presencial</v>
      </c>
      <c r="P20" s="6" t="str">
        <f>PERSONAL!Q20</f>
        <v>RETIRADO</v>
      </c>
      <c r="Q20" s="8">
        <f>PERSONAL!R20</f>
        <v>45356</v>
      </c>
      <c r="R20" s="6" t="str">
        <f>PERSONAL!S20</f>
        <v>Terminación de contrato</v>
      </c>
      <c r="S20" s="9">
        <f>NOMINA!H20</f>
        <v>4100000</v>
      </c>
      <c r="T20" s="9">
        <f>NOMINA!I20</f>
        <v>20000</v>
      </c>
      <c r="U20" s="9">
        <f>NOMINA!J20</f>
        <v>50000</v>
      </c>
      <c r="V20" s="9">
        <f>NOMINA!L20</f>
        <v>338400</v>
      </c>
      <c r="W20" s="9">
        <f>S20+T20+U20+NOMINA!K20</f>
        <v>4230000</v>
      </c>
      <c r="X20" s="9">
        <f t="shared" si="1"/>
        <v>3891600</v>
      </c>
      <c r="Y20" s="6">
        <f>RRHH!C20</f>
        <v>82</v>
      </c>
      <c r="Z20" s="6">
        <f>RRHH!D20</f>
        <v>4</v>
      </c>
      <c r="AA20" s="6">
        <f>RRHH!E20</f>
        <v>4</v>
      </c>
      <c r="AB20" s="6">
        <f>RRHH!F20</f>
        <v>4</v>
      </c>
      <c r="AC20" s="6">
        <f>RRHH!G20</f>
        <v>5</v>
      </c>
      <c r="AD20" s="6">
        <f>RRHH!H20</f>
        <v>2</v>
      </c>
      <c r="AE20" s="6">
        <f>RRHH!I20</f>
        <v>1</v>
      </c>
      <c r="AF20" s="6">
        <f>RRHH!J20</f>
        <v>2</v>
      </c>
      <c r="AG20" s="6">
        <f>RRHH!K20</f>
        <v>1</v>
      </c>
      <c r="AH20" s="6">
        <f>RRHH!L20</f>
        <v>9</v>
      </c>
      <c r="AI20" s="6">
        <f>RRHH!M20</f>
        <v>2</v>
      </c>
      <c r="AJ20" s="6">
        <f>RRHH!P20</f>
        <v>5</v>
      </c>
      <c r="AK20" s="6" t="str">
        <f>CONTRATACION!M20</f>
        <v>Portal de empleo</v>
      </c>
      <c r="AL20" s="6">
        <f>CONTRATACION!N20</f>
        <v>5</v>
      </c>
      <c r="AM20" s="6">
        <f>CONTRATACION!P20</f>
        <v>84</v>
      </c>
      <c r="AN20" s="6">
        <f>CONTRATACION!Q20</f>
        <v>94.7</v>
      </c>
      <c r="AO20" s="6">
        <f>CONTRATACION!R20</f>
        <v>86</v>
      </c>
      <c r="AP20" s="6">
        <f>CONTRATACION!S20</f>
        <v>2</v>
      </c>
      <c r="AQ20" s="6">
        <f>CONTRATACION!U20</f>
        <v>4100000</v>
      </c>
      <c r="AR20" s="9">
        <f>CONTRATACION!X20</f>
        <v>37</v>
      </c>
      <c r="AS20" s="6">
        <f t="shared" si="2"/>
        <v>1310</v>
      </c>
      <c r="AT20" s="10">
        <f t="shared" si="3"/>
        <v>43.03901437</v>
      </c>
      <c r="AU20" s="10">
        <f t="shared" si="4"/>
        <v>3.586584531</v>
      </c>
      <c r="AV20" s="10" t="str">
        <f t="shared" si="5"/>
        <v>3 a 5 años</v>
      </c>
      <c r="AW20" s="6">
        <f t="shared" si="6"/>
        <v>1</v>
      </c>
      <c r="AX20" s="6" t="str">
        <f t="shared" si="7"/>
        <v>ALTO</v>
      </c>
      <c r="AY20" s="6">
        <f t="shared" si="8"/>
        <v>1.92</v>
      </c>
    </row>
    <row r="21" ht="15.75" customHeight="1">
      <c r="A21" s="6" t="str">
        <f>NOMINA!A21</f>
        <v>900900017</v>
      </c>
      <c r="B21" s="6" t="str">
        <f>NOMINA!B21</f>
        <v>Julieta</v>
      </c>
      <c r="C21" s="6" t="str">
        <f>NOMINA!C21</f>
        <v>Ríos</v>
      </c>
      <c r="D21" s="6">
        <f>PERSONAL!E21</f>
        <v>33</v>
      </c>
      <c r="E21" s="6" t="str">
        <f>PERSONAL!F21</f>
        <v>F</v>
      </c>
      <c r="F21" s="6" t="str">
        <f>PERSONAL!G21</f>
        <v>Medellín</v>
      </c>
      <c r="G21" s="6" t="str">
        <f>PERSONAL!H21</f>
        <v>Universitario</v>
      </c>
      <c r="H21" s="6" t="str">
        <f>PERSONAL!I21</f>
        <v>Casado</v>
      </c>
      <c r="I21" s="6">
        <f>PERSONAL!J21</f>
        <v>0</v>
      </c>
      <c r="J21" s="6" t="str">
        <f>PERSONAL!L21</f>
        <v>Marketing</v>
      </c>
      <c r="K21" s="6" t="str">
        <f>PERSONAL!K21</f>
        <v>Analista de Contenidos</v>
      </c>
      <c r="L21" s="8">
        <f>PERSONAL!M21</f>
        <v>44375</v>
      </c>
      <c r="M21" s="6" t="str">
        <f>PERSONAL!N21</f>
        <v>Indefinido</v>
      </c>
      <c r="N21" s="6" t="str">
        <f>PERSONAL!O21</f>
        <v>Medio tiempo</v>
      </c>
      <c r="O21" s="6" t="str">
        <f>PERSONAL!P21</f>
        <v>Remoto</v>
      </c>
      <c r="P21" s="6" t="str">
        <f>PERSONAL!Q21</f>
        <v>RETIRADO</v>
      </c>
      <c r="Q21" s="8">
        <f>PERSONAL!R21</f>
        <v>45226</v>
      </c>
      <c r="R21" s="6" t="str">
        <f>PERSONAL!S21</f>
        <v>Mejor oportunidad laboral</v>
      </c>
      <c r="S21" s="9">
        <f>NOMINA!H21</f>
        <v>3700000</v>
      </c>
      <c r="T21" s="9">
        <f>NOMINA!I21</f>
        <v>30000</v>
      </c>
      <c r="U21" s="9">
        <f>NOMINA!J21</f>
        <v>12000</v>
      </c>
      <c r="V21" s="9">
        <f>NOMINA!L21</f>
        <v>321895</v>
      </c>
      <c r="W21" s="9">
        <f>S21+T21+U21+NOMINA!K21</f>
        <v>3787000</v>
      </c>
      <c r="X21" s="9">
        <f t="shared" si="1"/>
        <v>3465105</v>
      </c>
      <c r="Y21" s="6">
        <f>RRHH!C21</f>
        <v>84</v>
      </c>
      <c r="Z21" s="6">
        <f>RRHH!D21</f>
        <v>4</v>
      </c>
      <c r="AA21" s="6">
        <f>RRHH!E21</f>
        <v>4</v>
      </c>
      <c r="AB21" s="6">
        <f>RRHH!F21</f>
        <v>4</v>
      </c>
      <c r="AC21" s="6">
        <f>RRHH!G21</f>
        <v>3</v>
      </c>
      <c r="AD21" s="6">
        <f>RRHH!H21</f>
        <v>1</v>
      </c>
      <c r="AE21" s="6">
        <f>RRHH!I21</f>
        <v>1</v>
      </c>
      <c r="AF21" s="6">
        <f>RRHH!J21</f>
        <v>2</v>
      </c>
      <c r="AG21" s="6">
        <f>RRHH!K21</f>
        <v>0</v>
      </c>
      <c r="AH21" s="6">
        <f>RRHH!L21</f>
        <v>8</v>
      </c>
      <c r="AI21" s="6">
        <f>RRHH!M21</f>
        <v>2</v>
      </c>
      <c r="AJ21" s="6">
        <f>RRHH!P21</f>
        <v>5</v>
      </c>
      <c r="AK21" s="6" t="str">
        <f>CONTRATACION!M21</f>
        <v>Redes sociales</v>
      </c>
      <c r="AL21" s="6">
        <f>CONTRATACION!N21</f>
        <v>4</v>
      </c>
      <c r="AM21" s="6">
        <f>CONTRATACION!P21</f>
        <v>86</v>
      </c>
      <c r="AN21" s="6">
        <f>CONTRATACION!Q21</f>
        <v>95.4</v>
      </c>
      <c r="AO21" s="6">
        <f>CONTRATACION!R21</f>
        <v>80</v>
      </c>
      <c r="AP21" s="6">
        <f>CONTRATACION!S21</f>
        <v>1</v>
      </c>
      <c r="AQ21" s="6">
        <f>CONTRATACION!U21</f>
        <v>3700000</v>
      </c>
      <c r="AR21" s="9">
        <f>CONTRATACION!X21</f>
        <v>38</v>
      </c>
      <c r="AS21" s="6">
        <f t="shared" si="2"/>
        <v>851</v>
      </c>
      <c r="AT21" s="10">
        <f t="shared" si="3"/>
        <v>27.95893224</v>
      </c>
      <c r="AU21" s="10">
        <f t="shared" si="4"/>
        <v>2.32991102</v>
      </c>
      <c r="AV21" s="10" t="str">
        <f t="shared" si="5"/>
        <v>2 a 3 años</v>
      </c>
      <c r="AW21" s="6">
        <f t="shared" si="6"/>
        <v>1</v>
      </c>
      <c r="AX21" s="6" t="str">
        <f t="shared" si="7"/>
        <v>ALTO</v>
      </c>
      <c r="AY21" s="6">
        <f t="shared" si="8"/>
        <v>1.8</v>
      </c>
    </row>
    <row r="22" ht="15.75" customHeight="1">
      <c r="A22" s="6" t="str">
        <f>NOMINA!A22</f>
        <v>900900018</v>
      </c>
      <c r="B22" s="6" t="str">
        <f>NOMINA!B22</f>
        <v>Alejandro</v>
      </c>
      <c r="C22" s="6" t="str">
        <f>NOMINA!C22</f>
        <v>Sáenz</v>
      </c>
      <c r="D22" s="6">
        <f>PERSONAL!E22</f>
        <v>32</v>
      </c>
      <c r="E22" s="6" t="str">
        <f>PERSONAL!F22</f>
        <v>M</v>
      </c>
      <c r="F22" s="6" t="str">
        <f>PERSONAL!G22</f>
        <v>Cali</v>
      </c>
      <c r="G22" s="6" t="str">
        <f>PERSONAL!H22</f>
        <v>Tecnólogo</v>
      </c>
      <c r="H22" s="6" t="str">
        <f>PERSONAL!I22</f>
        <v>Unión libre</v>
      </c>
      <c r="I22" s="6">
        <f>PERSONAL!J22</f>
        <v>1</v>
      </c>
      <c r="J22" s="6" t="str">
        <f>PERSONAL!L22</f>
        <v>Logística</v>
      </c>
      <c r="K22" s="6" t="str">
        <f>PERSONAL!K22</f>
        <v>Coordinador Logístico</v>
      </c>
      <c r="L22" s="8">
        <f>PERSONAL!M22</f>
        <v>43507</v>
      </c>
      <c r="M22" s="6" t="str">
        <f>PERSONAL!N22</f>
        <v>Fijo</v>
      </c>
      <c r="N22" s="6" t="str">
        <f>PERSONAL!O22</f>
        <v>Medio tiempo</v>
      </c>
      <c r="O22" s="6" t="str">
        <f>PERSONAL!P22</f>
        <v>Presencial</v>
      </c>
      <c r="P22" s="6" t="str">
        <f>PERSONAL!Q22</f>
        <v>RETIRADO</v>
      </c>
      <c r="Q22" s="8">
        <f>PERSONAL!R22</f>
        <v>44804</v>
      </c>
      <c r="R22" s="6" t="str">
        <f>PERSONAL!S22</f>
        <v>Terminación de contrato</v>
      </c>
      <c r="S22" s="9">
        <f>NOMINA!H22</f>
        <v>4500000</v>
      </c>
      <c r="T22" s="9">
        <f>NOMINA!I22</f>
        <v>20000</v>
      </c>
      <c r="U22" s="9">
        <f>NOMINA!J22</f>
        <v>65000</v>
      </c>
      <c r="V22" s="9">
        <f>NOMINA!L22</f>
        <v>418500</v>
      </c>
      <c r="W22" s="9">
        <f>S22+T22+U22+NOMINA!K22</f>
        <v>4650000</v>
      </c>
      <c r="X22" s="9">
        <f t="shared" si="1"/>
        <v>4231500</v>
      </c>
      <c r="Y22" s="6">
        <f>RRHH!C22</f>
        <v>74</v>
      </c>
      <c r="Z22" s="6">
        <f>RRHH!D22</f>
        <v>4</v>
      </c>
      <c r="AA22" s="6">
        <f>RRHH!E22</f>
        <v>3</v>
      </c>
      <c r="AB22" s="6">
        <f>RRHH!F22</f>
        <v>3</v>
      </c>
      <c r="AC22" s="6">
        <f>RRHH!G22</f>
        <v>9</v>
      </c>
      <c r="AD22" s="6">
        <f>RRHH!H22</f>
        <v>3</v>
      </c>
      <c r="AE22" s="6">
        <f>RRHH!I22</f>
        <v>1</v>
      </c>
      <c r="AF22" s="6">
        <f>RRHH!J22</f>
        <v>1</v>
      </c>
      <c r="AG22" s="6">
        <f>RRHH!K22</f>
        <v>2</v>
      </c>
      <c r="AH22" s="6">
        <f>RRHH!L22</f>
        <v>9</v>
      </c>
      <c r="AI22" s="6">
        <f>RRHH!M22</f>
        <v>1</v>
      </c>
      <c r="AJ22" s="6">
        <f>RRHH!P22</f>
        <v>5</v>
      </c>
      <c r="AK22" s="6" t="str">
        <f>CONTRATACION!M22</f>
        <v>Agencia de empleo</v>
      </c>
      <c r="AL22" s="6">
        <f>CONTRATACION!N22</f>
        <v>7</v>
      </c>
      <c r="AM22" s="6">
        <f>CONTRATACION!P22</f>
        <v>88</v>
      </c>
      <c r="AN22" s="6">
        <f>CONTRATACION!Q22</f>
        <v>89.9</v>
      </c>
      <c r="AO22" s="6">
        <f>CONTRATACION!R22</f>
        <v>77</v>
      </c>
      <c r="AP22" s="6">
        <f>CONTRATACION!S22</f>
        <v>2</v>
      </c>
      <c r="AQ22" s="6">
        <f>CONTRATACION!U22</f>
        <v>4500000</v>
      </c>
      <c r="AR22" s="9">
        <f>CONTRATACION!X22</f>
        <v>39</v>
      </c>
      <c r="AS22" s="6">
        <f t="shared" si="2"/>
        <v>1297</v>
      </c>
      <c r="AT22" s="10">
        <f t="shared" si="3"/>
        <v>42.61190965</v>
      </c>
      <c r="AU22" s="10">
        <f t="shared" si="4"/>
        <v>3.550992471</v>
      </c>
      <c r="AV22" s="10" t="str">
        <f t="shared" si="5"/>
        <v>3 a 5 años</v>
      </c>
      <c r="AW22" s="6">
        <f t="shared" si="6"/>
        <v>1</v>
      </c>
      <c r="AX22" s="6" t="str">
        <f t="shared" si="7"/>
        <v>ALTO</v>
      </c>
      <c r="AY22" s="6">
        <f t="shared" si="8"/>
        <v>1.93</v>
      </c>
    </row>
    <row r="23" ht="15.75" customHeight="1">
      <c r="A23" s="6" t="str">
        <f>NOMINA!A23</f>
        <v>900900019</v>
      </c>
      <c r="B23" s="6" t="str">
        <f>NOMINA!B23</f>
        <v>Manuela</v>
      </c>
      <c r="C23" s="6" t="str">
        <f>NOMINA!C23</f>
        <v>Torres</v>
      </c>
      <c r="D23" s="6">
        <f>PERSONAL!E23</f>
        <v>31</v>
      </c>
      <c r="E23" s="6" t="str">
        <f>PERSONAL!F23</f>
        <v>F</v>
      </c>
      <c r="F23" s="6" t="str">
        <f>PERSONAL!G23</f>
        <v>Barranquilla</v>
      </c>
      <c r="G23" s="6" t="str">
        <f>PERSONAL!H23</f>
        <v>Posgrado</v>
      </c>
      <c r="H23" s="6" t="str">
        <f>PERSONAL!I23</f>
        <v>Soltero</v>
      </c>
      <c r="I23" s="6">
        <f>PERSONAL!J23</f>
        <v>2</v>
      </c>
      <c r="J23" s="6" t="str">
        <f>PERSONAL!L23</f>
        <v>Recursos Humanos</v>
      </c>
      <c r="K23" s="6" t="str">
        <f>PERSONAL!K23</f>
        <v>Generalista de RRHH</v>
      </c>
      <c r="L23" s="8">
        <f>PERSONAL!M23</f>
        <v>42800</v>
      </c>
      <c r="M23" s="6" t="str">
        <f>PERSONAL!N23</f>
        <v>Indefinido</v>
      </c>
      <c r="N23" s="6" t="str">
        <f>PERSONAL!O23</f>
        <v>Medio tiempo</v>
      </c>
      <c r="O23" s="6" t="str">
        <f>PERSONAL!P23</f>
        <v>Híbrido</v>
      </c>
      <c r="P23" s="6" t="str">
        <f>PERSONAL!Q23</f>
        <v>RETIRADO</v>
      </c>
      <c r="Q23" s="8">
        <f>PERSONAL!R23</f>
        <v>44498</v>
      </c>
      <c r="R23" s="6" t="str">
        <f>PERSONAL!S23</f>
        <v>Renuncia voluntaria</v>
      </c>
      <c r="S23" s="9">
        <f>NOMINA!H23</f>
        <v>5900000</v>
      </c>
      <c r="T23" s="9">
        <f>NOMINA!I23</f>
        <v>50000</v>
      </c>
      <c r="U23" s="9">
        <f>NOMINA!J23</f>
        <v>25000</v>
      </c>
      <c r="V23" s="9">
        <f>NOMINA!L23</f>
        <v>484000</v>
      </c>
      <c r="W23" s="9">
        <f>S23+T23+U23+NOMINA!K23</f>
        <v>6050000</v>
      </c>
      <c r="X23" s="9">
        <f t="shared" si="1"/>
        <v>5566000</v>
      </c>
      <c r="Y23" s="6">
        <f>RRHH!C23</f>
        <v>90</v>
      </c>
      <c r="Z23" s="6">
        <f>RRHH!D23</f>
        <v>5</v>
      </c>
      <c r="AA23" s="6">
        <f>RRHH!E23</f>
        <v>5</v>
      </c>
      <c r="AB23" s="6">
        <f>RRHH!F23</f>
        <v>4</v>
      </c>
      <c r="AC23" s="6">
        <f>RRHH!G23</f>
        <v>2</v>
      </c>
      <c r="AD23" s="6">
        <f>RRHH!H23</f>
        <v>0</v>
      </c>
      <c r="AE23" s="6">
        <f>RRHH!I23</f>
        <v>3</v>
      </c>
      <c r="AF23" s="6">
        <f>RRHH!J23</f>
        <v>4</v>
      </c>
      <c r="AG23" s="6">
        <f>RRHH!K23</f>
        <v>0</v>
      </c>
      <c r="AH23" s="6">
        <f>RRHH!L23</f>
        <v>8</v>
      </c>
      <c r="AI23" s="6">
        <f>RRHH!M23</f>
        <v>3</v>
      </c>
      <c r="AJ23" s="6">
        <f>RRHH!P23</f>
        <v>5</v>
      </c>
      <c r="AK23" s="6" t="str">
        <f>CONTRATACION!M23</f>
        <v>LinkedIn</v>
      </c>
      <c r="AL23" s="6">
        <f>CONTRATACION!N23</f>
        <v>8</v>
      </c>
      <c r="AM23" s="6">
        <f>CONTRATACION!P23</f>
        <v>96</v>
      </c>
      <c r="AN23" s="6">
        <f>CONTRATACION!Q23</f>
        <v>99.5</v>
      </c>
      <c r="AO23" s="6">
        <f>CONTRATACION!R23</f>
        <v>89</v>
      </c>
      <c r="AP23" s="6">
        <f>CONTRATACION!S23</f>
        <v>2</v>
      </c>
      <c r="AQ23" s="6">
        <f>CONTRATACION!U23</f>
        <v>5900000</v>
      </c>
      <c r="AR23" s="9">
        <f>CONTRATACION!X23</f>
        <v>40</v>
      </c>
      <c r="AS23" s="6">
        <f t="shared" si="2"/>
        <v>1698</v>
      </c>
      <c r="AT23" s="10">
        <f t="shared" si="3"/>
        <v>55.78644764</v>
      </c>
      <c r="AU23" s="10">
        <f t="shared" si="4"/>
        <v>4.648870637</v>
      </c>
      <c r="AV23" s="10" t="str">
        <f t="shared" si="5"/>
        <v>3 a 5 años</v>
      </c>
      <c r="AW23" s="6">
        <f t="shared" si="6"/>
        <v>1</v>
      </c>
      <c r="AX23" s="6" t="str">
        <f t="shared" si="7"/>
        <v>ALTO</v>
      </c>
      <c r="AY23" s="6">
        <f t="shared" si="8"/>
        <v>1.6</v>
      </c>
    </row>
    <row r="24" ht="15.75" customHeight="1">
      <c r="A24" s="6" t="str">
        <f>NOMINA!A24</f>
        <v>900900020</v>
      </c>
      <c r="B24" s="6" t="str">
        <f>NOMINA!B24</f>
        <v>Martín</v>
      </c>
      <c r="C24" s="6" t="str">
        <f>NOMINA!C24</f>
        <v>Uribe</v>
      </c>
      <c r="D24" s="6">
        <f>PERSONAL!E24</f>
        <v>30</v>
      </c>
      <c r="E24" s="6" t="str">
        <f>PERSONAL!F24</f>
        <v>M</v>
      </c>
      <c r="F24" s="6" t="str">
        <f>PERSONAL!G24</f>
        <v>Bucaramanga</v>
      </c>
      <c r="G24" s="6" t="str">
        <f>PERSONAL!H24</f>
        <v>Técnico</v>
      </c>
      <c r="H24" s="6" t="str">
        <f>PERSONAL!I24</f>
        <v>Casado</v>
      </c>
      <c r="I24" s="6">
        <f>PERSONAL!J24</f>
        <v>3</v>
      </c>
      <c r="J24" s="6" t="str">
        <f>PERSONAL!L24</f>
        <v>Contabilidad</v>
      </c>
      <c r="K24" s="6" t="str">
        <f>PERSONAL!K24</f>
        <v>Auxiliar Contable</v>
      </c>
      <c r="L24" s="8">
        <f>PERSONAL!M24</f>
        <v>45432</v>
      </c>
      <c r="M24" s="6" t="str">
        <f>PERSONAL!N24</f>
        <v>Temporal</v>
      </c>
      <c r="N24" s="6" t="str">
        <f>PERSONAL!O24</f>
        <v>Medio tiempo</v>
      </c>
      <c r="O24" s="6" t="str">
        <f>PERSONAL!P24</f>
        <v>Presencial</v>
      </c>
      <c r="P24" s="6" t="str">
        <f>PERSONAL!Q24</f>
        <v>RETIRADO</v>
      </c>
      <c r="Q24" s="8">
        <f>PERSONAL!R24</f>
        <v>45857</v>
      </c>
      <c r="R24" s="6" t="str">
        <f>PERSONAL!S24</f>
        <v>Terminación de contrato</v>
      </c>
      <c r="S24" s="9">
        <f>NOMINA!H24</f>
        <v>2200000</v>
      </c>
      <c r="T24" s="9">
        <f>NOMINA!I24</f>
        <v>10000</v>
      </c>
      <c r="U24" s="9">
        <f>NOMINA!J24</f>
        <v>55000</v>
      </c>
      <c r="V24" s="9">
        <f>NOMINA!L24</f>
        <v>194650</v>
      </c>
      <c r="W24" s="9">
        <f>S24+T24+U24+NOMINA!K24</f>
        <v>2290000</v>
      </c>
      <c r="X24" s="9">
        <f t="shared" si="1"/>
        <v>2095350</v>
      </c>
      <c r="Y24" s="6">
        <f>RRHH!C24</f>
        <v>67</v>
      </c>
      <c r="Z24" s="6">
        <f>RRHH!D24</f>
        <v>3</v>
      </c>
      <c r="AA24" s="6">
        <f>RRHH!E24</f>
        <v>3</v>
      </c>
      <c r="AB24" s="6">
        <f>RRHH!F24</f>
        <v>3</v>
      </c>
      <c r="AC24" s="6">
        <f>RRHH!G24</f>
        <v>11</v>
      </c>
      <c r="AD24" s="6">
        <f>RRHH!H24</f>
        <v>4</v>
      </c>
      <c r="AE24" s="6">
        <f>RRHH!I24</f>
        <v>0</v>
      </c>
      <c r="AF24" s="6">
        <f>RRHH!J24</f>
        <v>0</v>
      </c>
      <c r="AG24" s="6">
        <f>RRHH!K24</f>
        <v>2</v>
      </c>
      <c r="AH24" s="6">
        <f>RRHH!L24</f>
        <v>9</v>
      </c>
      <c r="AI24" s="6">
        <f>RRHH!M24</f>
        <v>1</v>
      </c>
      <c r="AJ24" s="6">
        <f>RRHH!P24</f>
        <v>4</v>
      </c>
      <c r="AK24" s="6" t="str">
        <f>CONTRATACION!M24</f>
        <v>Agencia de empleo</v>
      </c>
      <c r="AL24" s="6">
        <f>CONTRATACION!N24</f>
        <v>2</v>
      </c>
      <c r="AM24" s="6">
        <f>CONTRATACION!P24</f>
        <v>86</v>
      </c>
      <c r="AN24" s="6">
        <f>CONTRATACION!Q24</f>
        <v>87.5</v>
      </c>
      <c r="AO24" s="6">
        <f>CONTRATACION!R24</f>
        <v>81</v>
      </c>
      <c r="AP24" s="6">
        <f>CONTRATACION!S24</f>
        <v>2</v>
      </c>
      <c r="AQ24" s="6">
        <f>CONTRATACION!U24</f>
        <v>2200000</v>
      </c>
      <c r="AR24" s="9">
        <f>CONTRATACION!X24</f>
        <v>41</v>
      </c>
      <c r="AS24" s="6">
        <f t="shared" si="2"/>
        <v>425</v>
      </c>
      <c r="AT24" s="10">
        <f t="shared" si="3"/>
        <v>13.96303901</v>
      </c>
      <c r="AU24" s="10">
        <f t="shared" si="4"/>
        <v>1.163586585</v>
      </c>
      <c r="AV24" s="10" t="str">
        <f t="shared" si="5"/>
        <v>1 a 2 años</v>
      </c>
      <c r="AW24" s="6">
        <f t="shared" si="6"/>
        <v>1</v>
      </c>
      <c r="AX24" s="6" t="str">
        <f t="shared" si="7"/>
        <v>ALTO</v>
      </c>
      <c r="AY24" s="6">
        <f t="shared" si="8"/>
        <v>2.05</v>
      </c>
    </row>
    <row r="25" ht="15.75" customHeight="1">
      <c r="A25" s="6" t="str">
        <f>NOMINA!A25</f>
        <v>900900021</v>
      </c>
      <c r="B25" s="6" t="str">
        <f>NOMINA!B25</f>
        <v>Ana</v>
      </c>
      <c r="C25" s="6" t="str">
        <f>NOMINA!C25</f>
        <v>Vargas</v>
      </c>
      <c r="D25" s="6">
        <f>PERSONAL!E25</f>
        <v>46</v>
      </c>
      <c r="E25" s="6" t="str">
        <f>PERSONAL!F25</f>
        <v>F</v>
      </c>
      <c r="F25" s="6" t="str">
        <f>PERSONAL!G25</f>
        <v>Bogotá</v>
      </c>
      <c r="G25" s="6" t="str">
        <f>PERSONAL!H25</f>
        <v>Universitario</v>
      </c>
      <c r="H25" s="6" t="str">
        <f>PERSONAL!I25</f>
        <v>Unión libre</v>
      </c>
      <c r="I25" s="6">
        <f>PERSONAL!J25</f>
        <v>0</v>
      </c>
      <c r="J25" s="6" t="str">
        <f>PERSONAL!L25</f>
        <v>Administración</v>
      </c>
      <c r="K25" s="6" t="str">
        <f>PERSONAL!K25</f>
        <v>Jefe Administrativo</v>
      </c>
      <c r="L25" s="8">
        <f>PERSONAL!M25</f>
        <v>42611</v>
      </c>
      <c r="M25" s="6" t="str">
        <f>PERSONAL!N25</f>
        <v>Indefinido</v>
      </c>
      <c r="N25" s="6" t="str">
        <f>PERSONAL!O25</f>
        <v>Medio tiempo</v>
      </c>
      <c r="O25" s="6" t="str">
        <f>PERSONAL!P25</f>
        <v>Híbrido</v>
      </c>
      <c r="P25" s="6" t="str">
        <f>PERSONAL!Q25</f>
        <v>ACTIVO</v>
      </c>
      <c r="Q25" s="8" t="str">
        <f>PERSONAL!R25</f>
        <v/>
      </c>
      <c r="R25" s="6" t="str">
        <f>PERSONAL!S25</f>
        <v/>
      </c>
      <c r="S25" s="9">
        <f>NOMINA!H25</f>
        <v>6800000</v>
      </c>
      <c r="T25" s="9">
        <f>NOMINA!I25</f>
        <v>40000</v>
      </c>
      <c r="U25" s="9">
        <f>NOMINA!J25</f>
        <v>16000</v>
      </c>
      <c r="V25" s="9">
        <f>NOMINA!L25</f>
        <v>625140</v>
      </c>
      <c r="W25" s="9">
        <f>S25+T25+U25+NOMINA!K25</f>
        <v>6946000</v>
      </c>
      <c r="X25" s="9">
        <f t="shared" si="1"/>
        <v>6320860</v>
      </c>
      <c r="Y25" s="6">
        <f>RRHH!C25</f>
        <v>92</v>
      </c>
      <c r="Z25" s="6">
        <f>RRHH!D25</f>
        <v>5</v>
      </c>
      <c r="AA25" s="6">
        <f>RRHH!E25</f>
        <v>5</v>
      </c>
      <c r="AB25" s="6">
        <f>RRHH!F25</f>
        <v>5</v>
      </c>
      <c r="AC25" s="6">
        <f>RRHH!G25</f>
        <v>1</v>
      </c>
      <c r="AD25" s="6">
        <f>RRHH!H25</f>
        <v>0</v>
      </c>
      <c r="AE25" s="6">
        <f>RRHH!I25</f>
        <v>3</v>
      </c>
      <c r="AF25" s="6">
        <f>RRHH!J25</f>
        <v>5</v>
      </c>
      <c r="AG25" s="6">
        <f>RRHH!K25</f>
        <v>0</v>
      </c>
      <c r="AH25" s="6">
        <f>RRHH!L25</f>
        <v>8</v>
      </c>
      <c r="AI25" s="6">
        <f>RRHH!M25</f>
        <v>3</v>
      </c>
      <c r="AJ25" s="6">
        <f>RRHH!P25</f>
        <v>5</v>
      </c>
      <c r="AK25" s="6" t="str">
        <f>CONTRATACION!M25</f>
        <v>Referido interno</v>
      </c>
      <c r="AL25" s="6">
        <f>CONTRATACION!N25</f>
        <v>11</v>
      </c>
      <c r="AM25" s="6">
        <f>CONTRATACION!P25</f>
        <v>90</v>
      </c>
      <c r="AN25" s="6">
        <f>CONTRATACION!Q25</f>
        <v>100.2</v>
      </c>
      <c r="AO25" s="6">
        <f>CONTRATACION!R25</f>
        <v>85</v>
      </c>
      <c r="AP25" s="6">
        <f>CONTRATACION!S25</f>
        <v>1</v>
      </c>
      <c r="AQ25" s="6">
        <f>CONTRATACION!U25</f>
        <v>6800000</v>
      </c>
      <c r="AR25" s="9">
        <f>CONTRATACION!X25</f>
        <v>42</v>
      </c>
      <c r="AS25" s="6">
        <f t="shared" si="2"/>
        <v>3655</v>
      </c>
      <c r="AT25" s="10">
        <f t="shared" si="3"/>
        <v>120.0821355</v>
      </c>
      <c r="AU25" s="10">
        <f t="shared" si="4"/>
        <v>10.00684463</v>
      </c>
      <c r="AV25" s="10" t="str">
        <f t="shared" si="5"/>
        <v>Más de 5 años</v>
      </c>
      <c r="AW25" s="6">
        <f t="shared" si="6"/>
        <v>0</v>
      </c>
      <c r="AX25" s="6" t="str">
        <f t="shared" si="7"/>
        <v>ALTO</v>
      </c>
      <c r="AY25" s="6">
        <f t="shared" si="8"/>
        <v>2.31</v>
      </c>
    </row>
    <row r="26" ht="15.75" customHeight="1">
      <c r="A26" s="6" t="str">
        <f>NOMINA!A26</f>
        <v>900900022</v>
      </c>
      <c r="B26" s="6" t="str">
        <f>NOMINA!B26</f>
        <v>Juan</v>
      </c>
      <c r="C26" s="6" t="str">
        <f>NOMINA!C26</f>
        <v>Wong</v>
      </c>
      <c r="D26" s="6">
        <f>PERSONAL!E26</f>
        <v>45</v>
      </c>
      <c r="E26" s="6" t="str">
        <f>PERSONAL!F26</f>
        <v>M</v>
      </c>
      <c r="F26" s="6" t="str">
        <f>PERSONAL!G26</f>
        <v>Medellín</v>
      </c>
      <c r="G26" s="6" t="str">
        <f>PERSONAL!H26</f>
        <v>Tecnólogo</v>
      </c>
      <c r="H26" s="6" t="str">
        <f>PERSONAL!I26</f>
        <v>Soltero</v>
      </c>
      <c r="I26" s="6">
        <f>PERSONAL!J26</f>
        <v>1</v>
      </c>
      <c r="J26" s="6" t="str">
        <f>PERSONAL!L26</f>
        <v>Tecnología</v>
      </c>
      <c r="K26" s="6" t="str">
        <f>PERSONAL!K26</f>
        <v>Soporte TI</v>
      </c>
      <c r="L26" s="8">
        <f>PERSONAL!M26</f>
        <v>44585</v>
      </c>
      <c r="M26" s="6" t="str">
        <f>PERSONAL!N26</f>
        <v>Fijo</v>
      </c>
      <c r="N26" s="6" t="str">
        <f>PERSONAL!O26</f>
        <v>Medio tiempo</v>
      </c>
      <c r="O26" s="6" t="str">
        <f>PERSONAL!P26</f>
        <v>Híbrido</v>
      </c>
      <c r="P26" s="6" t="str">
        <f>PERSONAL!Q26</f>
        <v>ACTIVO</v>
      </c>
      <c r="Q26" s="8" t="str">
        <f>PERSONAL!R26</f>
        <v/>
      </c>
      <c r="R26" s="6" t="str">
        <f>PERSONAL!S26</f>
        <v/>
      </c>
      <c r="S26" s="9">
        <f>NOMINA!H26</f>
        <v>3200000</v>
      </c>
      <c r="T26" s="9">
        <f>NOMINA!I26</f>
        <v>20000</v>
      </c>
      <c r="U26" s="9">
        <f>NOMINA!J26</f>
        <v>45000</v>
      </c>
      <c r="V26" s="9">
        <f>NOMINA!L26</f>
        <v>264400</v>
      </c>
      <c r="W26" s="9">
        <f>S26+T26+U26+NOMINA!K26</f>
        <v>3305000</v>
      </c>
      <c r="X26" s="9">
        <f t="shared" si="1"/>
        <v>3040600</v>
      </c>
      <c r="Y26" s="6">
        <f>RRHH!C26</f>
        <v>78</v>
      </c>
      <c r="Z26" s="6">
        <f>RRHH!D26</f>
        <v>4</v>
      </c>
      <c r="AA26" s="6">
        <f>RRHH!E26</f>
        <v>3</v>
      </c>
      <c r="AB26" s="6">
        <f>RRHH!F26</f>
        <v>4</v>
      </c>
      <c r="AC26" s="6">
        <f>RRHH!G26</f>
        <v>5</v>
      </c>
      <c r="AD26" s="6">
        <f>RRHH!H26</f>
        <v>2</v>
      </c>
      <c r="AE26" s="6">
        <f>RRHH!I26</f>
        <v>1</v>
      </c>
      <c r="AF26" s="6">
        <f>RRHH!J26</f>
        <v>1</v>
      </c>
      <c r="AG26" s="6">
        <f>RRHH!K26</f>
        <v>1</v>
      </c>
      <c r="AH26" s="6">
        <f>RRHH!L26</f>
        <v>8</v>
      </c>
      <c r="AI26" s="6">
        <f>RRHH!M26</f>
        <v>2</v>
      </c>
      <c r="AJ26" s="6">
        <f>RRHH!P26</f>
        <v>5</v>
      </c>
      <c r="AK26" s="6" t="str">
        <f>CONTRATACION!M26</f>
        <v>Portal de empleo</v>
      </c>
      <c r="AL26" s="6">
        <f>CONTRATACION!N26</f>
        <v>3</v>
      </c>
      <c r="AM26" s="6">
        <f>CONTRATACION!P26</f>
        <v>86</v>
      </c>
      <c r="AN26" s="6">
        <f>CONTRATACION!Q26</f>
        <v>91.3</v>
      </c>
      <c r="AO26" s="6">
        <f>CONTRATACION!R26</f>
        <v>77</v>
      </c>
      <c r="AP26" s="6">
        <f>CONTRATACION!S26</f>
        <v>2</v>
      </c>
      <c r="AQ26" s="6">
        <f>CONTRATACION!U26</f>
        <v>3200000</v>
      </c>
      <c r="AR26" s="9">
        <f>CONTRATACION!X26</f>
        <v>43</v>
      </c>
      <c r="AS26" s="6">
        <f t="shared" si="2"/>
        <v>1681</v>
      </c>
      <c r="AT26" s="10">
        <f t="shared" si="3"/>
        <v>55.22792608</v>
      </c>
      <c r="AU26" s="10">
        <f t="shared" si="4"/>
        <v>4.602327173</v>
      </c>
      <c r="AV26" s="10" t="str">
        <f t="shared" si="5"/>
        <v>3 a 5 años</v>
      </c>
      <c r="AW26" s="6">
        <f t="shared" si="6"/>
        <v>0</v>
      </c>
      <c r="AX26" s="6" t="str">
        <f t="shared" si="7"/>
        <v>ALTO</v>
      </c>
      <c r="AY26" s="6">
        <f t="shared" si="8"/>
        <v>2.51</v>
      </c>
    </row>
    <row r="27" ht="15.75" customHeight="1">
      <c r="A27" s="6" t="str">
        <f>NOMINA!A27</f>
        <v>900900023</v>
      </c>
      <c r="B27" s="6" t="str">
        <f>NOMINA!B27</f>
        <v>Laura</v>
      </c>
      <c r="C27" s="6" t="str">
        <f>NOMINA!C27</f>
        <v>Zamora</v>
      </c>
      <c r="D27" s="6">
        <f>PERSONAL!E27</f>
        <v>44</v>
      </c>
      <c r="E27" s="6" t="str">
        <f>PERSONAL!F27</f>
        <v>F</v>
      </c>
      <c r="F27" s="6" t="str">
        <f>PERSONAL!G27</f>
        <v>Cali</v>
      </c>
      <c r="G27" s="6" t="str">
        <f>PERSONAL!H27</f>
        <v>Universitario</v>
      </c>
      <c r="H27" s="6" t="str">
        <f>PERSONAL!I27</f>
        <v>Casado</v>
      </c>
      <c r="I27" s="6">
        <f>PERSONAL!J27</f>
        <v>2</v>
      </c>
      <c r="J27" s="6" t="str">
        <f>PERSONAL!L27</f>
        <v>Operaciones</v>
      </c>
      <c r="K27" s="6" t="str">
        <f>PERSONAL!K27</f>
        <v>Analista de Operaciones</v>
      </c>
      <c r="L27" s="8">
        <f>PERSONAL!M27</f>
        <v>44172</v>
      </c>
      <c r="M27" s="6" t="str">
        <f>PERSONAL!N27</f>
        <v>Indefinido</v>
      </c>
      <c r="N27" s="6" t="str">
        <f>PERSONAL!O27</f>
        <v>Medio tiempo</v>
      </c>
      <c r="O27" s="6" t="str">
        <f>PERSONAL!P27</f>
        <v>Presencial</v>
      </c>
      <c r="P27" s="6" t="str">
        <f>PERSONAL!Q27</f>
        <v>ACTIVO</v>
      </c>
      <c r="Q27" s="8" t="str">
        <f>PERSONAL!R27</f>
        <v/>
      </c>
      <c r="R27" s="6" t="str">
        <f>PERSONAL!S27</f>
        <v/>
      </c>
      <c r="S27" s="9">
        <f>NOMINA!H27</f>
        <v>4000000</v>
      </c>
      <c r="T27" s="9">
        <f>NOMINA!I27</f>
        <v>30000</v>
      </c>
      <c r="U27" s="9">
        <f>NOMINA!J27</f>
        <v>32000</v>
      </c>
      <c r="V27" s="9">
        <f>NOMINA!L27</f>
        <v>349945</v>
      </c>
      <c r="W27" s="9">
        <f>S27+T27+U27+NOMINA!K27</f>
        <v>4117000</v>
      </c>
      <c r="X27" s="9">
        <f t="shared" si="1"/>
        <v>3767055</v>
      </c>
      <c r="Y27" s="6">
        <f>RRHH!C27</f>
        <v>85</v>
      </c>
      <c r="Z27" s="6">
        <f>RRHH!D27</f>
        <v>4</v>
      </c>
      <c r="AA27" s="6">
        <f>RRHH!E27</f>
        <v>4</v>
      </c>
      <c r="AB27" s="6">
        <f>RRHH!F27</f>
        <v>4</v>
      </c>
      <c r="AC27" s="6">
        <f>RRHH!G27</f>
        <v>3</v>
      </c>
      <c r="AD27" s="6">
        <f>RRHH!H27</f>
        <v>1</v>
      </c>
      <c r="AE27" s="6">
        <f>RRHH!I27</f>
        <v>1</v>
      </c>
      <c r="AF27" s="6">
        <f>RRHH!J27</f>
        <v>2</v>
      </c>
      <c r="AG27" s="6">
        <f>RRHH!K27</f>
        <v>0</v>
      </c>
      <c r="AH27" s="6">
        <f>RRHH!L27</f>
        <v>8</v>
      </c>
      <c r="AI27" s="6">
        <f>RRHH!M27</f>
        <v>2</v>
      </c>
      <c r="AJ27" s="6">
        <f>RRHH!P27</f>
        <v>5</v>
      </c>
      <c r="AK27" s="6" t="str">
        <f>CONTRATACION!M27</f>
        <v>LinkedIn</v>
      </c>
      <c r="AL27" s="6">
        <f>CONTRATACION!N27</f>
        <v>5</v>
      </c>
      <c r="AM27" s="6">
        <f>CONTRATACION!P27</f>
        <v>88</v>
      </c>
      <c r="AN27" s="6">
        <f>CONTRATACION!Q27</f>
        <v>95.8</v>
      </c>
      <c r="AO27" s="6">
        <f>CONTRATACION!R27</f>
        <v>84</v>
      </c>
      <c r="AP27" s="6">
        <f>CONTRATACION!S27</f>
        <v>2</v>
      </c>
      <c r="AQ27" s="6">
        <f>CONTRATACION!U27</f>
        <v>4000000</v>
      </c>
      <c r="AR27" s="9">
        <f>CONTRATACION!X27</f>
        <v>44</v>
      </c>
      <c r="AS27" s="6">
        <f t="shared" si="2"/>
        <v>2094</v>
      </c>
      <c r="AT27" s="10">
        <f t="shared" si="3"/>
        <v>68.79671458</v>
      </c>
      <c r="AU27" s="10">
        <f t="shared" si="4"/>
        <v>5.733059548</v>
      </c>
      <c r="AV27" s="10" t="str">
        <f t="shared" si="5"/>
        <v>Más de 5 años</v>
      </c>
      <c r="AW27" s="6">
        <f t="shared" si="6"/>
        <v>0</v>
      </c>
      <c r="AX27" s="6" t="str">
        <f t="shared" si="7"/>
        <v>ALTO</v>
      </c>
      <c r="AY27" s="6">
        <f t="shared" si="8"/>
        <v>2.35</v>
      </c>
    </row>
    <row r="28" ht="15.75" customHeight="1">
      <c r="A28" s="6" t="str">
        <f>NOMINA!A28</f>
        <v>900900024</v>
      </c>
      <c r="B28" s="6" t="str">
        <f>NOMINA!B28</f>
        <v>Felipe</v>
      </c>
      <c r="C28" s="6" t="str">
        <f>NOMINA!C28</f>
        <v>Acosta</v>
      </c>
      <c r="D28" s="6">
        <f>PERSONAL!E28</f>
        <v>42</v>
      </c>
      <c r="E28" s="6" t="str">
        <f>PERSONAL!F28</f>
        <v>M</v>
      </c>
      <c r="F28" s="6" t="str">
        <f>PERSONAL!G28</f>
        <v>Barranquilla</v>
      </c>
      <c r="G28" s="6" t="str">
        <f>PERSONAL!H28</f>
        <v>Posgrado</v>
      </c>
      <c r="H28" s="6" t="str">
        <f>PERSONAL!I28</f>
        <v>Unión libre</v>
      </c>
      <c r="I28" s="6">
        <f>PERSONAL!J28</f>
        <v>3</v>
      </c>
      <c r="J28" s="6" t="str">
        <f>PERSONAL!L28</f>
        <v>Comercial</v>
      </c>
      <c r="K28" s="6" t="str">
        <f>PERSONAL!K28</f>
        <v>Jefe de Ventas</v>
      </c>
      <c r="L28" s="8">
        <f>PERSONAL!M28</f>
        <v>42898</v>
      </c>
      <c r="M28" s="6" t="str">
        <f>PERSONAL!N28</f>
        <v>Indefinido</v>
      </c>
      <c r="N28" s="6" t="str">
        <f>PERSONAL!O28</f>
        <v>Medio tiempo</v>
      </c>
      <c r="O28" s="6" t="str">
        <f>PERSONAL!P28</f>
        <v>Híbrido</v>
      </c>
      <c r="P28" s="6" t="str">
        <f>PERSONAL!Q28</f>
        <v>ACTIVO</v>
      </c>
      <c r="Q28" s="8" t="str">
        <f>PERSONAL!R28</f>
        <v/>
      </c>
      <c r="R28" s="6" t="str">
        <f>PERSONAL!S28</f>
        <v/>
      </c>
      <c r="S28" s="9">
        <f>NOMINA!H28</f>
        <v>7500000</v>
      </c>
      <c r="T28" s="9">
        <f>NOMINA!I28</f>
        <v>100000</v>
      </c>
      <c r="U28" s="9">
        <f>NOMINA!J28</f>
        <v>20000</v>
      </c>
      <c r="V28" s="9">
        <f>NOMINA!L28</f>
        <v>694800</v>
      </c>
      <c r="W28" s="9">
        <f>S28+T28+U28+NOMINA!K28</f>
        <v>7720000</v>
      </c>
      <c r="X28" s="9">
        <f t="shared" si="1"/>
        <v>7025200</v>
      </c>
      <c r="Y28" s="6">
        <f>RRHH!C28</f>
        <v>94</v>
      </c>
      <c r="Z28" s="6">
        <f>RRHH!D28</f>
        <v>5</v>
      </c>
      <c r="AA28" s="6">
        <f>RRHH!E28</f>
        <v>4</v>
      </c>
      <c r="AB28" s="6">
        <f>RRHH!F28</f>
        <v>5</v>
      </c>
      <c r="AC28" s="6">
        <f>RRHH!G28</f>
        <v>2</v>
      </c>
      <c r="AD28" s="6">
        <f>RRHH!H28</f>
        <v>0</v>
      </c>
      <c r="AE28" s="6">
        <f>RRHH!I28</f>
        <v>3</v>
      </c>
      <c r="AF28" s="6">
        <f>RRHH!J28</f>
        <v>5</v>
      </c>
      <c r="AG28" s="6">
        <f>RRHH!K28</f>
        <v>0</v>
      </c>
      <c r="AH28" s="6">
        <f>RRHH!L28</f>
        <v>9</v>
      </c>
      <c r="AI28" s="6">
        <f>RRHH!M28</f>
        <v>3</v>
      </c>
      <c r="AJ28" s="6">
        <f>RRHH!P28</f>
        <v>5</v>
      </c>
      <c r="AK28" s="6" t="str">
        <f>CONTRATACION!M28</f>
        <v>Referido interno</v>
      </c>
      <c r="AL28" s="6">
        <f>CONTRATACION!N28</f>
        <v>12</v>
      </c>
      <c r="AM28" s="6">
        <f>CONTRATACION!P28</f>
        <v>96</v>
      </c>
      <c r="AN28" s="6">
        <f>CONTRATACION!Q28</f>
        <v>98.9</v>
      </c>
      <c r="AO28" s="6">
        <f>CONTRATACION!R28</f>
        <v>86</v>
      </c>
      <c r="AP28" s="6">
        <f>CONTRATACION!S28</f>
        <v>2</v>
      </c>
      <c r="AQ28" s="6">
        <f>CONTRATACION!U28</f>
        <v>7500000</v>
      </c>
      <c r="AR28" s="9">
        <f>CONTRATACION!X28</f>
        <v>35</v>
      </c>
      <c r="AS28" s="6">
        <f t="shared" si="2"/>
        <v>3368</v>
      </c>
      <c r="AT28" s="10">
        <f t="shared" si="3"/>
        <v>110.6529774</v>
      </c>
      <c r="AU28" s="10">
        <f t="shared" si="4"/>
        <v>9.221081451</v>
      </c>
      <c r="AV28" s="10" t="str">
        <f t="shared" si="5"/>
        <v>Más de 5 años</v>
      </c>
      <c r="AW28" s="6">
        <f t="shared" si="6"/>
        <v>0</v>
      </c>
      <c r="AX28" s="6" t="str">
        <f t="shared" si="7"/>
        <v>ALTO</v>
      </c>
      <c r="AY28" s="6">
        <f t="shared" si="8"/>
        <v>2.16</v>
      </c>
    </row>
    <row r="29" ht="15.75" customHeight="1">
      <c r="A29" s="6" t="str">
        <f>NOMINA!A29</f>
        <v>900900025</v>
      </c>
      <c r="B29" s="6" t="str">
        <f>NOMINA!B29</f>
        <v>Natalia</v>
      </c>
      <c r="C29" s="6" t="str">
        <f>NOMINA!C29</f>
        <v>Beltrán</v>
      </c>
      <c r="D29" s="6">
        <f>PERSONAL!E29</f>
        <v>41</v>
      </c>
      <c r="E29" s="6" t="str">
        <f>PERSONAL!F29</f>
        <v>F</v>
      </c>
      <c r="F29" s="6" t="str">
        <f>PERSONAL!G29</f>
        <v>Bucaramanga</v>
      </c>
      <c r="G29" s="6" t="str">
        <f>PERSONAL!H29</f>
        <v>Universitario</v>
      </c>
      <c r="H29" s="6" t="str">
        <f>PERSONAL!I29</f>
        <v>Soltero</v>
      </c>
      <c r="I29" s="6">
        <f>PERSONAL!J29</f>
        <v>0</v>
      </c>
      <c r="J29" s="6" t="str">
        <f>PERSONAL!L29</f>
        <v>Finanzas</v>
      </c>
      <c r="K29" s="6" t="str">
        <f>PERSONAL!K29</f>
        <v>Analista de Tesorería</v>
      </c>
      <c r="L29" s="8">
        <f>PERSONAL!M29</f>
        <v>44956</v>
      </c>
      <c r="M29" s="6" t="str">
        <f>PERSONAL!N29</f>
        <v>Fijo</v>
      </c>
      <c r="N29" s="6" t="str">
        <f>PERSONAL!O29</f>
        <v>Medio tiempo</v>
      </c>
      <c r="O29" s="6" t="str">
        <f>PERSONAL!P29</f>
        <v>Híbrido</v>
      </c>
      <c r="P29" s="6" t="str">
        <f>PERSONAL!Q29</f>
        <v>ACTIVO</v>
      </c>
      <c r="Q29" s="8" t="str">
        <f>PERSONAL!R29</f>
        <v/>
      </c>
      <c r="R29" s="6" t="str">
        <f>PERSONAL!S29</f>
        <v/>
      </c>
      <c r="S29" s="9">
        <f>NOMINA!H29</f>
        <v>3400000</v>
      </c>
      <c r="T29" s="9">
        <f>NOMINA!I29</f>
        <v>20000</v>
      </c>
      <c r="U29" s="9">
        <f>NOMINA!J29</f>
        <v>25000</v>
      </c>
      <c r="V29" s="9">
        <f>NOMINA!L29</f>
        <v>279200</v>
      </c>
      <c r="W29" s="9">
        <f>S29+T29+U29+NOMINA!K29</f>
        <v>3490000</v>
      </c>
      <c r="X29" s="9">
        <f t="shared" si="1"/>
        <v>3210800</v>
      </c>
      <c r="Y29" s="6">
        <f>RRHH!C29</f>
        <v>80</v>
      </c>
      <c r="Z29" s="6">
        <f>RRHH!D29</f>
        <v>4</v>
      </c>
      <c r="AA29" s="6">
        <f>RRHH!E29</f>
        <v>4</v>
      </c>
      <c r="AB29" s="6">
        <f>RRHH!F29</f>
        <v>4</v>
      </c>
      <c r="AC29" s="6">
        <f>RRHH!G29</f>
        <v>4</v>
      </c>
      <c r="AD29" s="6">
        <f>RRHH!H29</f>
        <v>2</v>
      </c>
      <c r="AE29" s="6">
        <f>RRHH!I29</f>
        <v>1</v>
      </c>
      <c r="AF29" s="6">
        <f>RRHH!J29</f>
        <v>1</v>
      </c>
      <c r="AG29" s="6">
        <f>RRHH!K29</f>
        <v>0</v>
      </c>
      <c r="AH29" s="6">
        <f>RRHH!L29</f>
        <v>8</v>
      </c>
      <c r="AI29" s="6">
        <f>RRHH!M29</f>
        <v>2</v>
      </c>
      <c r="AJ29" s="6">
        <f>RRHH!P29</f>
        <v>5</v>
      </c>
      <c r="AK29" s="6" t="str">
        <f>CONTRATACION!M29</f>
        <v>Portal de empleo</v>
      </c>
      <c r="AL29" s="6">
        <f>CONTRATACION!N29</f>
        <v>4</v>
      </c>
      <c r="AM29" s="6">
        <f>CONTRATACION!P29</f>
        <v>92</v>
      </c>
      <c r="AN29" s="6">
        <f>CONTRATACION!Q29</f>
        <v>94</v>
      </c>
      <c r="AO29" s="6">
        <f>CONTRATACION!R29</f>
        <v>80</v>
      </c>
      <c r="AP29" s="6">
        <f>CONTRATACION!S29</f>
        <v>1</v>
      </c>
      <c r="AQ29" s="6">
        <f>CONTRATACION!U29</f>
        <v>3400000</v>
      </c>
      <c r="AR29" s="9">
        <f>CONTRATACION!X29</f>
        <v>36</v>
      </c>
      <c r="AS29" s="6">
        <f t="shared" si="2"/>
        <v>1310</v>
      </c>
      <c r="AT29" s="10">
        <f t="shared" si="3"/>
        <v>43.03901437</v>
      </c>
      <c r="AU29" s="10">
        <f t="shared" si="4"/>
        <v>3.586584531</v>
      </c>
      <c r="AV29" s="10" t="str">
        <f t="shared" si="5"/>
        <v>3 a 5 años</v>
      </c>
      <c r="AW29" s="6">
        <f t="shared" si="6"/>
        <v>0</v>
      </c>
      <c r="AX29" s="6" t="str">
        <f t="shared" si="7"/>
        <v>ALTO</v>
      </c>
      <c r="AY29" s="6">
        <f t="shared" si="8"/>
        <v>2.26</v>
      </c>
    </row>
    <row r="30" ht="15.75" customHeight="1">
      <c r="A30" s="6" t="str">
        <f>NOMINA!A30</f>
        <v>900900026</v>
      </c>
      <c r="B30" s="6" t="str">
        <f>NOMINA!B30</f>
        <v>David</v>
      </c>
      <c r="C30" s="6" t="str">
        <f>NOMINA!C30</f>
        <v>Castro</v>
      </c>
      <c r="D30" s="6">
        <f>PERSONAL!E30</f>
        <v>40</v>
      </c>
      <c r="E30" s="6" t="str">
        <f>PERSONAL!F30</f>
        <v>M</v>
      </c>
      <c r="F30" s="6" t="str">
        <f>PERSONAL!G30</f>
        <v>Bogotá</v>
      </c>
      <c r="G30" s="6" t="str">
        <f>PERSONAL!H30</f>
        <v>Universitario</v>
      </c>
      <c r="H30" s="6" t="str">
        <f>PERSONAL!I30</f>
        <v>Casado</v>
      </c>
      <c r="I30" s="6">
        <f>PERSONAL!J30</f>
        <v>1</v>
      </c>
      <c r="J30" s="6" t="str">
        <f>PERSONAL!L30</f>
        <v>Marketing</v>
      </c>
      <c r="K30" s="6" t="str">
        <f>PERSONAL!K30</f>
        <v>Diseñador Digital</v>
      </c>
      <c r="L30" s="8">
        <f>PERSONAL!M30</f>
        <v>45306</v>
      </c>
      <c r="M30" s="6" t="str">
        <f>PERSONAL!N30</f>
        <v>Temporal</v>
      </c>
      <c r="N30" s="6" t="str">
        <f>PERSONAL!O30</f>
        <v>Medio tiempo</v>
      </c>
      <c r="O30" s="6" t="str">
        <f>PERSONAL!P30</f>
        <v>Remoto</v>
      </c>
      <c r="P30" s="6" t="str">
        <f>PERSONAL!Q30</f>
        <v>ACTIVO</v>
      </c>
      <c r="Q30" s="8" t="str">
        <f>PERSONAL!R30</f>
        <v/>
      </c>
      <c r="R30" s="6" t="str">
        <f>PERSONAL!S30</f>
        <v/>
      </c>
      <c r="S30" s="9">
        <f>NOMINA!H30</f>
        <v>2900000</v>
      </c>
      <c r="T30" s="9">
        <f>NOMINA!I30</f>
        <v>30000</v>
      </c>
      <c r="U30" s="9">
        <f>NOMINA!J30</f>
        <v>15000</v>
      </c>
      <c r="V30" s="9">
        <f>NOMINA!L30</f>
        <v>253300</v>
      </c>
      <c r="W30" s="9">
        <f>S30+T30+U30+NOMINA!K30</f>
        <v>2980000</v>
      </c>
      <c r="X30" s="9">
        <f t="shared" si="1"/>
        <v>2726700</v>
      </c>
      <c r="Y30" s="6">
        <f>RRHH!C30</f>
        <v>76</v>
      </c>
      <c r="Z30" s="6">
        <f>RRHH!D30</f>
        <v>3</v>
      </c>
      <c r="AA30" s="6">
        <f>RRHH!E30</f>
        <v>3</v>
      </c>
      <c r="AB30" s="6">
        <f>RRHH!F30</f>
        <v>4</v>
      </c>
      <c r="AC30" s="6">
        <f>RRHH!G30</f>
        <v>7</v>
      </c>
      <c r="AD30" s="6">
        <f>RRHH!H30</f>
        <v>3</v>
      </c>
      <c r="AE30" s="6">
        <f>RRHH!I30</f>
        <v>0</v>
      </c>
      <c r="AF30" s="6">
        <f>RRHH!J30</f>
        <v>0</v>
      </c>
      <c r="AG30" s="6">
        <f>RRHH!K30</f>
        <v>1</v>
      </c>
      <c r="AH30" s="6">
        <f>RRHH!L30</f>
        <v>8</v>
      </c>
      <c r="AI30" s="6">
        <f>RRHH!M30</f>
        <v>1</v>
      </c>
      <c r="AJ30" s="6">
        <f>RRHH!P30</f>
        <v>4</v>
      </c>
      <c r="AK30" s="6" t="str">
        <f>CONTRATACION!M30</f>
        <v>Redes sociales</v>
      </c>
      <c r="AL30" s="6">
        <f>CONTRATACION!N30</f>
        <v>3</v>
      </c>
      <c r="AM30" s="6">
        <f>CONTRATACION!P30</f>
        <v>78</v>
      </c>
      <c r="AN30" s="6">
        <f>CONTRATACION!Q30</f>
        <v>90.6</v>
      </c>
      <c r="AO30" s="6">
        <f>CONTRATACION!R30</f>
        <v>77</v>
      </c>
      <c r="AP30" s="6">
        <f>CONTRATACION!S30</f>
        <v>2</v>
      </c>
      <c r="AQ30" s="6">
        <f>CONTRATACION!U30</f>
        <v>2900000</v>
      </c>
      <c r="AR30" s="9">
        <f>CONTRATACION!X30</f>
        <v>37</v>
      </c>
      <c r="AS30" s="6">
        <f t="shared" si="2"/>
        <v>960</v>
      </c>
      <c r="AT30" s="10">
        <f t="shared" si="3"/>
        <v>31.54004107</v>
      </c>
      <c r="AU30" s="10">
        <f t="shared" si="4"/>
        <v>2.628336756</v>
      </c>
      <c r="AV30" s="10" t="str">
        <f t="shared" si="5"/>
        <v>2 a 3 años</v>
      </c>
      <c r="AW30" s="6">
        <f t="shared" si="6"/>
        <v>0</v>
      </c>
      <c r="AX30" s="6" t="str">
        <f t="shared" si="7"/>
        <v>ALTO</v>
      </c>
      <c r="AY30" s="6">
        <f t="shared" si="8"/>
        <v>2.48</v>
      </c>
    </row>
    <row r="31" ht="15.75" customHeight="1">
      <c r="A31" s="6" t="str">
        <f>NOMINA!A31</f>
        <v>900900027</v>
      </c>
      <c r="B31" s="6" t="str">
        <f>NOMINA!B31</f>
        <v>Paula</v>
      </c>
      <c r="C31" s="6" t="str">
        <f>NOMINA!C31</f>
        <v>Delgado</v>
      </c>
      <c r="D31" s="6">
        <f>PERSONAL!E31</f>
        <v>39</v>
      </c>
      <c r="E31" s="6" t="str">
        <f>PERSONAL!F31</f>
        <v>F</v>
      </c>
      <c r="F31" s="6" t="str">
        <f>PERSONAL!G31</f>
        <v>Medellín</v>
      </c>
      <c r="G31" s="6" t="str">
        <f>PERSONAL!H31</f>
        <v>Universitario</v>
      </c>
      <c r="H31" s="6" t="str">
        <f>PERSONAL!I31</f>
        <v>Unión libre</v>
      </c>
      <c r="I31" s="6">
        <f>PERSONAL!J31</f>
        <v>2</v>
      </c>
      <c r="J31" s="6" t="str">
        <f>PERSONAL!L31</f>
        <v>Servicio al Cliente</v>
      </c>
      <c r="K31" s="6" t="str">
        <f>PERSONAL!K31</f>
        <v>Analista de Calidad</v>
      </c>
      <c r="L31" s="8">
        <f>PERSONAL!M31</f>
        <v>43696</v>
      </c>
      <c r="M31" s="6" t="str">
        <f>PERSONAL!N31</f>
        <v>Indefinido</v>
      </c>
      <c r="N31" s="6" t="str">
        <f>PERSONAL!O31</f>
        <v>Medio tiempo</v>
      </c>
      <c r="O31" s="6" t="str">
        <f>PERSONAL!P31</f>
        <v>Presencial</v>
      </c>
      <c r="P31" s="6" t="str">
        <f>PERSONAL!Q31</f>
        <v>ACTIVO</v>
      </c>
      <c r="Q31" s="8" t="str">
        <f>PERSONAL!R31</f>
        <v/>
      </c>
      <c r="R31" s="6" t="str">
        <f>PERSONAL!S31</f>
        <v/>
      </c>
      <c r="S31" s="9">
        <f>NOMINA!H31</f>
        <v>3900000</v>
      </c>
      <c r="T31" s="9">
        <f>NOMINA!I31</f>
        <v>20000</v>
      </c>
      <c r="U31" s="9">
        <f>NOMINA!J31</f>
        <v>35000</v>
      </c>
      <c r="V31" s="9">
        <f>NOMINA!L31</f>
        <v>360450</v>
      </c>
      <c r="W31" s="9">
        <f>S31+T31+U31+NOMINA!K31</f>
        <v>4005000</v>
      </c>
      <c r="X31" s="9">
        <f t="shared" si="1"/>
        <v>3644550</v>
      </c>
      <c r="Y31" s="6">
        <f>RRHH!C31</f>
        <v>84</v>
      </c>
      <c r="Z31" s="6">
        <f>RRHH!D31</f>
        <v>4</v>
      </c>
      <c r="AA31" s="6">
        <f>RRHH!E31</f>
        <v>4</v>
      </c>
      <c r="AB31" s="6">
        <f>RRHH!F31</f>
        <v>4</v>
      </c>
      <c r="AC31" s="6">
        <f>RRHH!G31</f>
        <v>4</v>
      </c>
      <c r="AD31" s="6">
        <f>RRHH!H31</f>
        <v>1</v>
      </c>
      <c r="AE31" s="6">
        <f>RRHH!I31</f>
        <v>2</v>
      </c>
      <c r="AF31" s="6">
        <f>RRHH!J31</f>
        <v>2</v>
      </c>
      <c r="AG31" s="6">
        <f>RRHH!K31</f>
        <v>0</v>
      </c>
      <c r="AH31" s="6">
        <f>RRHH!L31</f>
        <v>8</v>
      </c>
      <c r="AI31" s="6">
        <f>RRHH!M31</f>
        <v>2</v>
      </c>
      <c r="AJ31" s="6">
        <f>RRHH!P31</f>
        <v>5</v>
      </c>
      <c r="AK31" s="6" t="str">
        <f>CONTRATACION!M31</f>
        <v>Portal de empleo</v>
      </c>
      <c r="AL31" s="6">
        <f>CONTRATACION!N31</f>
        <v>6</v>
      </c>
      <c r="AM31" s="6">
        <f>CONTRATACION!P31</f>
        <v>86</v>
      </c>
      <c r="AN31" s="6">
        <f>CONTRATACION!Q31</f>
        <v>95.4</v>
      </c>
      <c r="AO31" s="6">
        <f>CONTRATACION!R31</f>
        <v>84</v>
      </c>
      <c r="AP31" s="6">
        <f>CONTRATACION!S31</f>
        <v>2</v>
      </c>
      <c r="AQ31" s="6">
        <f>CONTRATACION!U31</f>
        <v>3900000</v>
      </c>
      <c r="AR31" s="9">
        <f>CONTRATACION!X31</f>
        <v>38</v>
      </c>
      <c r="AS31" s="6">
        <f t="shared" si="2"/>
        <v>2570</v>
      </c>
      <c r="AT31" s="10">
        <f t="shared" si="3"/>
        <v>84.43531828</v>
      </c>
      <c r="AU31" s="10">
        <f t="shared" si="4"/>
        <v>7.036276523</v>
      </c>
      <c r="AV31" s="10" t="str">
        <f t="shared" si="5"/>
        <v>Más de 5 años</v>
      </c>
      <c r="AW31" s="6">
        <f t="shared" si="6"/>
        <v>0</v>
      </c>
      <c r="AX31" s="6" t="str">
        <f t="shared" si="7"/>
        <v>ALTO</v>
      </c>
      <c r="AY31" s="6">
        <f t="shared" si="8"/>
        <v>2.11</v>
      </c>
    </row>
    <row r="32" ht="15.75" customHeight="1">
      <c r="A32" s="6" t="str">
        <f>NOMINA!A32</f>
        <v>900900028</v>
      </c>
      <c r="B32" s="6" t="str">
        <f>NOMINA!B32</f>
        <v>Jorge</v>
      </c>
      <c r="C32" s="6" t="str">
        <f>NOMINA!C32</f>
        <v>Escobar</v>
      </c>
      <c r="D32" s="6">
        <f>PERSONAL!E32</f>
        <v>39</v>
      </c>
      <c r="E32" s="6" t="str">
        <f>PERSONAL!F32</f>
        <v>M</v>
      </c>
      <c r="F32" s="6" t="str">
        <f>PERSONAL!G32</f>
        <v>Cali</v>
      </c>
      <c r="G32" s="6" t="str">
        <f>PERSONAL!H32</f>
        <v>Universitario</v>
      </c>
      <c r="H32" s="6" t="str">
        <f>PERSONAL!I32</f>
        <v>Soltero</v>
      </c>
      <c r="I32" s="6">
        <f>PERSONAL!J32</f>
        <v>3</v>
      </c>
      <c r="J32" s="6" t="str">
        <f>PERSONAL!L32</f>
        <v>Compras</v>
      </c>
      <c r="K32" s="6" t="str">
        <f>PERSONAL!K32</f>
        <v>Coordinador de Compras</v>
      </c>
      <c r="L32" s="8">
        <f>PERSONAL!M32</f>
        <v>43437</v>
      </c>
      <c r="M32" s="6" t="str">
        <f>PERSONAL!N32</f>
        <v>Fijo</v>
      </c>
      <c r="N32" s="6" t="str">
        <f>PERSONAL!O32</f>
        <v>Medio tiempo</v>
      </c>
      <c r="O32" s="6" t="str">
        <f>PERSONAL!P32</f>
        <v>Híbrido</v>
      </c>
      <c r="P32" s="6" t="str">
        <f>PERSONAL!Q32</f>
        <v>ACTIVO</v>
      </c>
      <c r="Q32" s="8" t="str">
        <f>PERSONAL!R32</f>
        <v/>
      </c>
      <c r="R32" s="6" t="str">
        <f>PERSONAL!S32</f>
        <v/>
      </c>
      <c r="S32" s="9">
        <f>NOMINA!H32</f>
        <v>5000000</v>
      </c>
      <c r="T32" s="9">
        <f>NOMINA!I32</f>
        <v>20000</v>
      </c>
      <c r="U32" s="9">
        <f>NOMINA!J32</f>
        <v>18000</v>
      </c>
      <c r="V32" s="9">
        <f>NOMINA!L32</f>
        <v>408240</v>
      </c>
      <c r="W32" s="9">
        <f>S32+T32+U32+NOMINA!K32</f>
        <v>5103000</v>
      </c>
      <c r="X32" s="9">
        <f t="shared" si="1"/>
        <v>4694760</v>
      </c>
      <c r="Y32" s="6">
        <f>RRHH!C32</f>
        <v>87</v>
      </c>
      <c r="Z32" s="6">
        <f>RRHH!D32</f>
        <v>4</v>
      </c>
      <c r="AA32" s="6">
        <f>RRHH!E32</f>
        <v>4</v>
      </c>
      <c r="AB32" s="6">
        <f>RRHH!F32</f>
        <v>4</v>
      </c>
      <c r="AC32" s="6">
        <f>RRHH!G32</f>
        <v>3</v>
      </c>
      <c r="AD32" s="6">
        <f>RRHH!H32</f>
        <v>1</v>
      </c>
      <c r="AE32" s="6">
        <f>RRHH!I32</f>
        <v>2</v>
      </c>
      <c r="AF32" s="6">
        <f>RRHH!J32</f>
        <v>3</v>
      </c>
      <c r="AG32" s="6">
        <f>RRHH!K32</f>
        <v>0</v>
      </c>
      <c r="AH32" s="6">
        <f>RRHH!L32</f>
        <v>8</v>
      </c>
      <c r="AI32" s="6">
        <f>RRHH!M32</f>
        <v>2</v>
      </c>
      <c r="AJ32" s="6">
        <f>RRHH!P32</f>
        <v>5</v>
      </c>
      <c r="AK32" s="6" t="str">
        <f>CONTRATACION!M32</f>
        <v>Referido interno</v>
      </c>
      <c r="AL32" s="6">
        <f>CONTRATACION!N32</f>
        <v>8</v>
      </c>
      <c r="AM32" s="6">
        <f>CONTRATACION!P32</f>
        <v>88</v>
      </c>
      <c r="AN32" s="6">
        <f>CONTRATACION!Q32</f>
        <v>96.5</v>
      </c>
      <c r="AO32" s="6">
        <f>CONTRATACION!R32</f>
        <v>86</v>
      </c>
      <c r="AP32" s="6">
        <f>CONTRATACION!S32</f>
        <v>2</v>
      </c>
      <c r="AQ32" s="6">
        <f>CONTRATACION!U32</f>
        <v>5000000</v>
      </c>
      <c r="AR32" s="9">
        <f>CONTRATACION!X32</f>
        <v>39</v>
      </c>
      <c r="AS32" s="6">
        <f t="shared" si="2"/>
        <v>2829</v>
      </c>
      <c r="AT32" s="10">
        <f t="shared" si="3"/>
        <v>92.94455852</v>
      </c>
      <c r="AU32" s="10">
        <f t="shared" si="4"/>
        <v>7.745379877</v>
      </c>
      <c r="AV32" s="10" t="str">
        <f t="shared" si="5"/>
        <v>Más de 5 años</v>
      </c>
      <c r="AW32" s="6">
        <f t="shared" si="6"/>
        <v>0</v>
      </c>
      <c r="AX32" s="6" t="str">
        <f t="shared" si="7"/>
        <v>ALTO</v>
      </c>
      <c r="AY32" s="6">
        <f t="shared" si="8"/>
        <v>2.15</v>
      </c>
    </row>
    <row r="33" ht="15.75" customHeight="1">
      <c r="A33" s="6" t="str">
        <f>NOMINA!A33</f>
        <v>900900029</v>
      </c>
      <c r="B33" s="6" t="str">
        <f>NOMINA!B33</f>
        <v>Sara</v>
      </c>
      <c r="C33" s="6" t="str">
        <f>NOMINA!C33</f>
        <v>Fuentes</v>
      </c>
      <c r="D33" s="6">
        <f>PERSONAL!E33</f>
        <v>38</v>
      </c>
      <c r="E33" s="6" t="str">
        <f>PERSONAL!F33</f>
        <v>F</v>
      </c>
      <c r="F33" s="6" t="str">
        <f>PERSONAL!G33</f>
        <v>Barranquilla</v>
      </c>
      <c r="G33" s="6" t="str">
        <f>PERSONAL!H33</f>
        <v>Tecnólogo</v>
      </c>
      <c r="H33" s="6" t="str">
        <f>PERSONAL!I33</f>
        <v>Casado</v>
      </c>
      <c r="I33" s="6">
        <f>PERSONAL!J33</f>
        <v>0</v>
      </c>
      <c r="J33" s="6" t="str">
        <f>PERSONAL!L33</f>
        <v>Logística</v>
      </c>
      <c r="K33" s="6" t="str">
        <f>PERSONAL!K33</f>
        <v>Analista de Inventarios</v>
      </c>
      <c r="L33" s="8">
        <f>PERSONAL!M33</f>
        <v>44753</v>
      </c>
      <c r="M33" s="6" t="str">
        <f>PERSONAL!N33</f>
        <v>Fijo</v>
      </c>
      <c r="N33" s="6" t="str">
        <f>PERSONAL!O33</f>
        <v>Medio tiempo</v>
      </c>
      <c r="O33" s="6" t="str">
        <f>PERSONAL!P33</f>
        <v>Presencial</v>
      </c>
      <c r="P33" s="6" t="str">
        <f>PERSONAL!Q33</f>
        <v>ACTIVO</v>
      </c>
      <c r="Q33" s="8" t="str">
        <f>PERSONAL!R33</f>
        <v/>
      </c>
      <c r="R33" s="6" t="str">
        <f>PERSONAL!S33</f>
        <v/>
      </c>
      <c r="S33" s="9">
        <f>NOMINA!H33</f>
        <v>3300000</v>
      </c>
      <c r="T33" s="9">
        <f>NOMINA!I33</f>
        <v>10000</v>
      </c>
      <c r="U33" s="9">
        <f>NOMINA!J33</f>
        <v>50000</v>
      </c>
      <c r="V33" s="9">
        <f>NOMINA!L33</f>
        <v>288575</v>
      </c>
      <c r="W33" s="9">
        <f>S33+T33+U33+NOMINA!K33</f>
        <v>3395000</v>
      </c>
      <c r="X33" s="9">
        <f t="shared" si="1"/>
        <v>3106425</v>
      </c>
      <c r="Y33" s="6">
        <f>RRHH!C33</f>
        <v>71</v>
      </c>
      <c r="Z33" s="6">
        <f>RRHH!D33</f>
        <v>3</v>
      </c>
      <c r="AA33" s="6">
        <f>RRHH!E33</f>
        <v>3</v>
      </c>
      <c r="AB33" s="6">
        <f>RRHH!F33</f>
        <v>3</v>
      </c>
      <c r="AC33" s="6">
        <f>RRHH!G33</f>
        <v>8</v>
      </c>
      <c r="AD33" s="6">
        <f>RRHH!H33</f>
        <v>3</v>
      </c>
      <c r="AE33" s="6">
        <f>RRHH!I33</f>
        <v>0</v>
      </c>
      <c r="AF33" s="6">
        <f>RRHH!J33</f>
        <v>1</v>
      </c>
      <c r="AG33" s="6">
        <f>RRHH!K33</f>
        <v>2</v>
      </c>
      <c r="AH33" s="6">
        <f>RRHH!L33</f>
        <v>9</v>
      </c>
      <c r="AI33" s="6">
        <f>RRHH!M33</f>
        <v>1</v>
      </c>
      <c r="AJ33" s="6">
        <f>RRHH!P33</f>
        <v>4</v>
      </c>
      <c r="AK33" s="6" t="str">
        <f>CONTRATACION!M33</f>
        <v>Agencia de empleo</v>
      </c>
      <c r="AL33" s="6">
        <f>CONTRATACION!N33</f>
        <v>4</v>
      </c>
      <c r="AM33" s="6">
        <f>CONTRATACION!P33</f>
        <v>84</v>
      </c>
      <c r="AN33" s="6">
        <f>CONTRATACION!Q33</f>
        <v>88.8</v>
      </c>
      <c r="AO33" s="6">
        <f>CONTRATACION!R33</f>
        <v>75</v>
      </c>
      <c r="AP33" s="6">
        <f>CONTRATACION!S33</f>
        <v>1</v>
      </c>
      <c r="AQ33" s="6">
        <f>CONTRATACION!U33</f>
        <v>3300000</v>
      </c>
      <c r="AR33" s="9">
        <f>CONTRATACION!X33</f>
        <v>40</v>
      </c>
      <c r="AS33" s="6">
        <f t="shared" si="2"/>
        <v>1513</v>
      </c>
      <c r="AT33" s="10">
        <f t="shared" si="3"/>
        <v>49.70841889</v>
      </c>
      <c r="AU33" s="10">
        <f t="shared" si="4"/>
        <v>4.142368241</v>
      </c>
      <c r="AV33" s="10" t="str">
        <f t="shared" si="5"/>
        <v>3 a 5 años</v>
      </c>
      <c r="AW33" s="6">
        <f t="shared" si="6"/>
        <v>0</v>
      </c>
      <c r="AX33" s="6" t="str">
        <f t="shared" si="7"/>
        <v>ALTO</v>
      </c>
      <c r="AY33" s="6">
        <f t="shared" si="8"/>
        <v>2.27</v>
      </c>
    </row>
    <row r="34" ht="15.75" customHeight="1">
      <c r="A34" s="6" t="str">
        <f>NOMINA!A34</f>
        <v>900900030</v>
      </c>
      <c r="B34" s="6" t="str">
        <f>NOMINA!B34</f>
        <v>Esteban</v>
      </c>
      <c r="C34" s="6" t="str">
        <f>NOMINA!C34</f>
        <v>Gutiérrez</v>
      </c>
      <c r="D34" s="6">
        <f>PERSONAL!E34</f>
        <v>37</v>
      </c>
      <c r="E34" s="6" t="str">
        <f>PERSONAL!F34</f>
        <v>M</v>
      </c>
      <c r="F34" s="6" t="str">
        <f>PERSONAL!G34</f>
        <v>Bucaramanga</v>
      </c>
      <c r="G34" s="6" t="str">
        <f>PERSONAL!H34</f>
        <v>Universitario</v>
      </c>
      <c r="H34" s="6" t="str">
        <f>PERSONAL!I34</f>
        <v>Unión libre</v>
      </c>
      <c r="I34" s="6">
        <f>PERSONAL!J34</f>
        <v>1</v>
      </c>
      <c r="J34" s="6" t="str">
        <f>PERSONAL!L34</f>
        <v>Administración</v>
      </c>
      <c r="K34" s="6" t="str">
        <f>PERSONAL!K34</f>
        <v>Analista Administrativo</v>
      </c>
      <c r="L34" s="11">
        <f>PERSONAL!M34</f>
        <v>44473</v>
      </c>
      <c r="M34" s="6" t="str">
        <f>PERSONAL!N34</f>
        <v>Indefinido</v>
      </c>
      <c r="N34" s="6" t="str">
        <f>PERSONAL!O34</f>
        <v>Medio tiempo</v>
      </c>
      <c r="O34" s="6" t="str">
        <f>PERSONAL!P34</f>
        <v>Híbrido</v>
      </c>
      <c r="P34" s="6" t="str">
        <f>PERSONAL!Q34</f>
        <v>ACTIVO</v>
      </c>
      <c r="Q34" s="6" t="str">
        <f>PERSONAL!R34</f>
        <v/>
      </c>
      <c r="R34" s="6" t="str">
        <f>PERSONAL!S34</f>
        <v/>
      </c>
      <c r="S34" s="6">
        <f>NOMINA!H34</f>
        <v>3600000</v>
      </c>
      <c r="T34" s="6">
        <f>NOMINA!I34</f>
        <v>20000</v>
      </c>
      <c r="U34" s="6">
        <f>NOMINA!J34</f>
        <v>20000</v>
      </c>
      <c r="V34" s="6">
        <f>NOMINA!L34</f>
        <v>331650</v>
      </c>
      <c r="W34" s="6">
        <f>S34+T34+U34+NOMINA!K34</f>
        <v>3685000</v>
      </c>
      <c r="X34" s="6">
        <f t="shared" si="1"/>
        <v>3353350</v>
      </c>
      <c r="Y34" s="6">
        <f>RRHH!C34</f>
        <v>83</v>
      </c>
      <c r="Z34" s="6">
        <f>RRHH!D34</f>
        <v>4</v>
      </c>
      <c r="AA34" s="6">
        <f>RRHH!E34</f>
        <v>4</v>
      </c>
      <c r="AB34" s="6">
        <f>RRHH!F34</f>
        <v>4</v>
      </c>
      <c r="AC34" s="6">
        <f>RRHH!G34</f>
        <v>3</v>
      </c>
      <c r="AD34" s="6">
        <f>RRHH!H34</f>
        <v>1</v>
      </c>
      <c r="AE34" s="6">
        <f>RRHH!I34</f>
        <v>1</v>
      </c>
      <c r="AF34" s="6">
        <f>RRHH!J34</f>
        <v>2</v>
      </c>
      <c r="AG34" s="6">
        <f>RRHH!K34</f>
        <v>0</v>
      </c>
      <c r="AH34" s="6">
        <f>RRHH!L34</f>
        <v>8</v>
      </c>
      <c r="AI34" s="6">
        <f>RRHH!M34</f>
        <v>2</v>
      </c>
      <c r="AJ34" s="6">
        <f>RRHH!P34</f>
        <v>5</v>
      </c>
      <c r="AK34" s="6" t="str">
        <f>CONTRATACION!M34</f>
        <v>LinkedIn</v>
      </c>
      <c r="AL34" s="6">
        <f>CONTRATACION!N34</f>
        <v>5</v>
      </c>
      <c r="AM34" s="6">
        <f>CONTRATACION!P34</f>
        <v>92</v>
      </c>
      <c r="AN34" s="6">
        <f>CONTRATACION!Q34</f>
        <v>95</v>
      </c>
      <c r="AO34" s="6">
        <f>CONTRATACION!R34</f>
        <v>82</v>
      </c>
      <c r="AP34" s="6">
        <f>CONTRATACION!S34</f>
        <v>2</v>
      </c>
      <c r="AQ34" s="6">
        <f>CONTRATACION!U34</f>
        <v>3600000</v>
      </c>
      <c r="AR34" s="6">
        <f>CONTRATACION!X34</f>
        <v>41</v>
      </c>
      <c r="AS34" s="6">
        <f t="shared" si="2"/>
        <v>1793</v>
      </c>
      <c r="AT34" s="6">
        <f t="shared" si="3"/>
        <v>58.90759754</v>
      </c>
      <c r="AU34" s="6">
        <f t="shared" si="4"/>
        <v>4.908966461</v>
      </c>
      <c r="AV34" s="6" t="str">
        <f t="shared" si="5"/>
        <v>3 a 5 años</v>
      </c>
      <c r="AW34" s="6">
        <f t="shared" si="6"/>
        <v>0</v>
      </c>
      <c r="AX34" s="6" t="str">
        <f t="shared" si="7"/>
        <v>ALTO</v>
      </c>
      <c r="AY34" s="6">
        <f t="shared" si="8"/>
        <v>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Y1"/>
    <mergeCell ref="A2:AY2"/>
  </mergeCells>
  <conditionalFormatting sqref="AX4:AX3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Y4:AY33">
    <cfRule type="expression" dxfId="0" priority="2">
      <formula>AY4="ALTO"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3" width="12.0"/>
    <col customWidth="1" min="4" max="4" width="28.0"/>
    <col customWidth="1" min="5" max="5" width="21.0"/>
    <col customWidth="1" min="6" max="7" width="15.0"/>
    <col customWidth="1" min="8" max="9" width="16.0"/>
    <col customWidth="1" min="10" max="10" width="14.0"/>
    <col customWidth="1" min="11" max="11" width="16.0"/>
    <col customWidth="1" min="12" max="12" width="13.0"/>
    <col customWidth="1" min="13" max="13" width="18.0"/>
    <col customWidth="1" min="14" max="14" width="14.0"/>
    <col customWidth="1" min="15" max="15" width="16.0"/>
    <col customWidth="1" min="16" max="16" width="17.0"/>
    <col customWidth="1" min="17" max="26" width="8.57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>
      <c r="A4" s="6" t="s">
        <v>6</v>
      </c>
      <c r="B4" s="6" t="s">
        <v>7</v>
      </c>
      <c r="C4" s="6" t="s">
        <v>8</v>
      </c>
      <c r="D4" s="6" t="s">
        <v>12</v>
      </c>
      <c r="E4" s="6" t="s">
        <v>14</v>
      </c>
      <c r="F4" s="6" t="s">
        <v>16</v>
      </c>
      <c r="G4" s="6" t="s">
        <v>18</v>
      </c>
      <c r="H4" s="6" t="s">
        <v>19</v>
      </c>
      <c r="I4" s="6" t="s">
        <v>21</v>
      </c>
      <c r="J4" s="6" t="s">
        <v>22</v>
      </c>
      <c r="K4" s="6" t="s">
        <v>23</v>
      </c>
      <c r="L4" s="6" t="s">
        <v>24</v>
      </c>
      <c r="M4" s="6" t="s">
        <v>25</v>
      </c>
      <c r="N4" s="6" t="s">
        <v>26</v>
      </c>
      <c r="O4" s="6" t="s">
        <v>27</v>
      </c>
      <c r="P4" s="6" t="s">
        <v>29</v>
      </c>
    </row>
    <row r="5">
      <c r="A5" s="6" t="s">
        <v>31</v>
      </c>
      <c r="B5" s="6" t="s">
        <v>32</v>
      </c>
      <c r="C5" s="6" t="s">
        <v>33</v>
      </c>
      <c r="D5" s="6" t="s">
        <v>35</v>
      </c>
      <c r="E5" s="6" t="s">
        <v>36</v>
      </c>
      <c r="F5" s="6" t="s">
        <v>38</v>
      </c>
      <c r="G5" s="8">
        <v>43143.0</v>
      </c>
      <c r="H5" s="6">
        <v>7600000.0</v>
      </c>
      <c r="I5" s="6">
        <v>40000.0</v>
      </c>
      <c r="J5" s="6">
        <v>72000.0</v>
      </c>
      <c r="K5" s="6">
        <v>85000.0</v>
      </c>
      <c r="L5" s="6">
        <v>623760.0</v>
      </c>
      <c r="M5" s="6"/>
      <c r="N5" s="6"/>
      <c r="O5" s="6" t="s">
        <v>41</v>
      </c>
      <c r="P5" s="6" t="s">
        <v>43</v>
      </c>
    </row>
    <row r="6">
      <c r="A6" s="6" t="s">
        <v>46</v>
      </c>
      <c r="B6" s="6" t="s">
        <v>48</v>
      </c>
      <c r="C6" s="6" t="s">
        <v>51</v>
      </c>
      <c r="D6" s="6" t="s">
        <v>54</v>
      </c>
      <c r="E6" s="6" t="s">
        <v>55</v>
      </c>
      <c r="F6" s="6" t="s">
        <v>38</v>
      </c>
      <c r="G6" s="8">
        <v>43997.0</v>
      </c>
      <c r="H6" s="6">
        <v>4300000.0</v>
      </c>
      <c r="I6" s="6">
        <v>20000.0</v>
      </c>
      <c r="J6" s="6">
        <v>30000.0</v>
      </c>
      <c r="K6" s="6">
        <v>65000.0</v>
      </c>
      <c r="L6" s="6">
        <v>375275.0</v>
      </c>
      <c r="M6" s="6"/>
      <c r="N6" s="6"/>
      <c r="O6" s="6" t="s">
        <v>41</v>
      </c>
      <c r="P6" s="6" t="s">
        <v>43</v>
      </c>
    </row>
    <row r="7">
      <c r="A7" s="6" t="s">
        <v>67</v>
      </c>
      <c r="B7" s="6" t="s">
        <v>68</v>
      </c>
      <c r="C7" s="6" t="s">
        <v>70</v>
      </c>
      <c r="D7" s="6" t="s">
        <v>71</v>
      </c>
      <c r="E7" s="6" t="s">
        <v>72</v>
      </c>
      <c r="F7" s="6" t="s">
        <v>74</v>
      </c>
      <c r="G7" s="8">
        <v>44214.0</v>
      </c>
      <c r="H7" s="6">
        <v>3900000.0</v>
      </c>
      <c r="I7" s="6">
        <v>60000.0</v>
      </c>
      <c r="J7" s="6">
        <v>45000.0</v>
      </c>
      <c r="K7" s="6">
        <v>55000.0</v>
      </c>
      <c r="L7" s="6">
        <v>365400.0</v>
      </c>
      <c r="M7" s="6"/>
      <c r="N7" s="6"/>
      <c r="O7" s="6" t="s">
        <v>41</v>
      </c>
      <c r="P7" s="6" t="s">
        <v>43</v>
      </c>
    </row>
    <row r="8">
      <c r="A8" s="6" t="s">
        <v>77</v>
      </c>
      <c r="B8" s="6" t="s">
        <v>78</v>
      </c>
      <c r="C8" s="6" t="s">
        <v>80</v>
      </c>
      <c r="D8" s="6" t="s">
        <v>81</v>
      </c>
      <c r="E8" s="6" t="s">
        <v>82</v>
      </c>
      <c r="F8" s="6" t="s">
        <v>38</v>
      </c>
      <c r="G8" s="8">
        <v>42982.0</v>
      </c>
      <c r="H8" s="6">
        <v>5200000.0</v>
      </c>
      <c r="I8" s="6">
        <v>30000.0</v>
      </c>
      <c r="J8" s="6">
        <v>25000.0</v>
      </c>
      <c r="K8" s="6">
        <v>90000.0</v>
      </c>
      <c r="L8" s="6">
        <v>427600.0</v>
      </c>
      <c r="M8" s="6">
        <f t="shared" ref="M8:M37" si="1">H5+I5+J5+K5</f>
        <v>7797000</v>
      </c>
      <c r="N8" s="6">
        <f t="shared" ref="N8:N37" si="2">M5-L5</f>
        <v>-623760</v>
      </c>
      <c r="O8" s="6" t="s">
        <v>41</v>
      </c>
      <c r="P8" s="6" t="s">
        <v>43</v>
      </c>
    </row>
    <row r="9">
      <c r="A9" s="6" t="s">
        <v>88</v>
      </c>
      <c r="B9" s="6" t="s">
        <v>89</v>
      </c>
      <c r="C9" s="6" t="s">
        <v>90</v>
      </c>
      <c r="D9" s="6" t="s">
        <v>91</v>
      </c>
      <c r="E9" s="6" t="s">
        <v>92</v>
      </c>
      <c r="F9" s="6" t="s">
        <v>74</v>
      </c>
      <c r="G9" s="8">
        <v>44641.0</v>
      </c>
      <c r="H9" s="6">
        <v>3600000.0</v>
      </c>
      <c r="I9" s="6">
        <v>40000.0</v>
      </c>
      <c r="J9" s="6">
        <v>18000.0</v>
      </c>
      <c r="K9" s="6">
        <v>45000.0</v>
      </c>
      <c r="L9" s="6">
        <v>314755.0</v>
      </c>
      <c r="M9" s="6">
        <f t="shared" si="1"/>
        <v>4415000</v>
      </c>
      <c r="N9" s="6">
        <f t="shared" si="2"/>
        <v>-375275</v>
      </c>
      <c r="O9" s="6" t="s">
        <v>41</v>
      </c>
      <c r="P9" s="6" t="s">
        <v>43</v>
      </c>
    </row>
    <row r="10">
      <c r="A10" s="6" t="s">
        <v>96</v>
      </c>
      <c r="B10" s="6" t="s">
        <v>97</v>
      </c>
      <c r="C10" s="6" t="s">
        <v>98</v>
      </c>
      <c r="D10" s="6" t="s">
        <v>99</v>
      </c>
      <c r="E10" s="6" t="s">
        <v>100</v>
      </c>
      <c r="F10" s="6" t="s">
        <v>101</v>
      </c>
      <c r="G10" s="8">
        <v>45117.0</v>
      </c>
      <c r="H10" s="6">
        <v>2100000.0</v>
      </c>
      <c r="I10" s="6">
        <v>10000.0</v>
      </c>
      <c r="J10" s="6">
        <v>60000.0</v>
      </c>
      <c r="K10" s="6">
        <v>30000.0</v>
      </c>
      <c r="L10" s="6">
        <v>198000.0</v>
      </c>
      <c r="M10" s="6">
        <f t="shared" si="1"/>
        <v>4060000</v>
      </c>
      <c r="N10" s="6">
        <f t="shared" si="2"/>
        <v>-365400</v>
      </c>
      <c r="O10" s="6" t="s">
        <v>41</v>
      </c>
      <c r="P10" s="6" t="s">
        <v>43</v>
      </c>
    </row>
    <row r="11">
      <c r="A11" s="6" t="s">
        <v>103</v>
      </c>
      <c r="B11" s="6" t="s">
        <v>104</v>
      </c>
      <c r="C11" s="6" t="s">
        <v>106</v>
      </c>
      <c r="D11" s="6" t="s">
        <v>108</v>
      </c>
      <c r="E11" s="6" t="s">
        <v>109</v>
      </c>
      <c r="F11" s="6" t="s">
        <v>38</v>
      </c>
      <c r="G11" s="8">
        <v>43794.0</v>
      </c>
      <c r="H11" s="6">
        <v>4800000.0</v>
      </c>
      <c r="I11" s="6">
        <v>50000.0</v>
      </c>
      <c r="J11" s="6">
        <v>20000.0</v>
      </c>
      <c r="K11" s="6">
        <v>60000.0</v>
      </c>
      <c r="L11" s="6">
        <v>394400.0</v>
      </c>
      <c r="M11" s="6">
        <f t="shared" si="1"/>
        <v>5345000</v>
      </c>
      <c r="N11" s="6">
        <f t="shared" si="2"/>
        <v>7369400</v>
      </c>
      <c r="O11" s="6" t="s">
        <v>41</v>
      </c>
      <c r="P11" s="6" t="s">
        <v>43</v>
      </c>
    </row>
    <row r="12">
      <c r="A12" s="6" t="s">
        <v>119</v>
      </c>
      <c r="B12" s="6" t="s">
        <v>120</v>
      </c>
      <c r="C12" s="6" t="s">
        <v>122</v>
      </c>
      <c r="D12" s="6" t="s">
        <v>124</v>
      </c>
      <c r="E12" s="6" t="s">
        <v>125</v>
      </c>
      <c r="F12" s="6" t="s">
        <v>74</v>
      </c>
      <c r="G12" s="8">
        <v>45327.0</v>
      </c>
      <c r="H12" s="6">
        <v>2400000.0</v>
      </c>
      <c r="I12" s="6">
        <v>10000.0</v>
      </c>
      <c r="J12" s="6">
        <v>70000.0</v>
      </c>
      <c r="K12" s="6">
        <v>25000.0</v>
      </c>
      <c r="L12" s="6">
        <v>212925.0</v>
      </c>
      <c r="M12" s="6">
        <f t="shared" si="1"/>
        <v>3703000</v>
      </c>
      <c r="N12" s="6">
        <f t="shared" si="2"/>
        <v>4100245</v>
      </c>
      <c r="O12" s="6" t="s">
        <v>41</v>
      </c>
      <c r="P12" s="6" t="s">
        <v>43</v>
      </c>
    </row>
    <row r="13">
      <c r="A13" s="6" t="s">
        <v>128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38</v>
      </c>
      <c r="G13" s="8">
        <v>42506.0</v>
      </c>
      <c r="H13" s="6">
        <v>6100000.0</v>
      </c>
      <c r="I13" s="6">
        <v>30000.0</v>
      </c>
      <c r="J13" s="6">
        <v>15000.0</v>
      </c>
      <c r="K13" s="6">
        <v>70000.0</v>
      </c>
      <c r="L13" s="6">
        <v>559350.0</v>
      </c>
      <c r="M13" s="6">
        <f t="shared" si="1"/>
        <v>2200000</v>
      </c>
      <c r="N13" s="6">
        <f t="shared" si="2"/>
        <v>3862000</v>
      </c>
      <c r="O13" s="6" t="s">
        <v>41</v>
      </c>
      <c r="P13" s="6" t="s">
        <v>43</v>
      </c>
    </row>
    <row r="14">
      <c r="A14" s="6" t="s">
        <v>134</v>
      </c>
      <c r="B14" s="6" t="s">
        <v>135</v>
      </c>
      <c r="C14" s="6" t="s">
        <v>136</v>
      </c>
      <c r="D14" s="6" t="s">
        <v>137</v>
      </c>
      <c r="E14" s="6" t="s">
        <v>138</v>
      </c>
      <c r="F14" s="6" t="s">
        <v>74</v>
      </c>
      <c r="G14" s="8">
        <v>44816.0</v>
      </c>
      <c r="H14" s="6">
        <v>3500000.0</v>
      </c>
      <c r="I14" s="6">
        <v>20000.0</v>
      </c>
      <c r="J14" s="6">
        <v>28000.0</v>
      </c>
      <c r="K14" s="6">
        <v>50000.0</v>
      </c>
      <c r="L14" s="6">
        <v>287840.0</v>
      </c>
      <c r="M14" s="6">
        <f t="shared" si="1"/>
        <v>4930000</v>
      </c>
      <c r="N14" s="6">
        <f t="shared" si="2"/>
        <v>4950600</v>
      </c>
      <c r="O14" s="6" t="s">
        <v>41</v>
      </c>
      <c r="P14" s="6" t="s">
        <v>43</v>
      </c>
    </row>
    <row r="15">
      <c r="A15" s="6" t="s">
        <v>141</v>
      </c>
      <c r="B15" s="6" t="s">
        <v>142</v>
      </c>
      <c r="C15" s="6" t="s">
        <v>143</v>
      </c>
      <c r="D15" s="6" t="s">
        <v>144</v>
      </c>
      <c r="E15" s="6" t="s">
        <v>145</v>
      </c>
      <c r="F15" s="6" t="s">
        <v>101</v>
      </c>
      <c r="G15" s="8">
        <v>45236.0</v>
      </c>
      <c r="H15" s="6">
        <v>2300000.0</v>
      </c>
      <c r="I15" s="6">
        <v>10000.0</v>
      </c>
      <c r="J15" s="6">
        <v>40000.0</v>
      </c>
      <c r="K15" s="6">
        <v>30000.0</v>
      </c>
      <c r="L15" s="6">
        <v>202300.0</v>
      </c>
      <c r="M15" s="6">
        <f t="shared" si="1"/>
        <v>2505000</v>
      </c>
      <c r="N15" s="6">
        <f t="shared" si="2"/>
        <v>3490075</v>
      </c>
      <c r="O15" s="6" t="s">
        <v>41</v>
      </c>
      <c r="P15" s="6" t="s">
        <v>43</v>
      </c>
    </row>
    <row r="16">
      <c r="A16" s="6" t="s">
        <v>146</v>
      </c>
      <c r="B16" s="6" t="s">
        <v>147</v>
      </c>
      <c r="C16" s="6" t="s">
        <v>148</v>
      </c>
      <c r="D16" s="6" t="s">
        <v>149</v>
      </c>
      <c r="E16" s="6" t="s">
        <v>36</v>
      </c>
      <c r="F16" s="6" t="s">
        <v>38</v>
      </c>
      <c r="G16" s="8">
        <v>43563.0</v>
      </c>
      <c r="H16" s="6">
        <v>7200000.0</v>
      </c>
      <c r="I16" s="6">
        <v>40000.0</v>
      </c>
      <c r="J16" s="6">
        <v>35000.0</v>
      </c>
      <c r="K16" s="6">
        <v>80000.0</v>
      </c>
      <c r="L16" s="6">
        <v>661950.0</v>
      </c>
      <c r="M16" s="6">
        <f t="shared" si="1"/>
        <v>6215000</v>
      </c>
      <c r="N16" s="6">
        <f t="shared" si="2"/>
        <v>1640650</v>
      </c>
      <c r="O16" s="6" t="s">
        <v>41</v>
      </c>
      <c r="P16" s="6" t="s">
        <v>43</v>
      </c>
    </row>
    <row r="17">
      <c r="A17" s="6" t="s">
        <v>152</v>
      </c>
      <c r="B17" s="6" t="s">
        <v>153</v>
      </c>
      <c r="C17" s="6" t="s">
        <v>154</v>
      </c>
      <c r="D17" s="6" t="s">
        <v>155</v>
      </c>
      <c r="E17" s="6" t="s">
        <v>82</v>
      </c>
      <c r="F17" s="6" t="s">
        <v>38</v>
      </c>
      <c r="G17" s="8">
        <v>43395.0</v>
      </c>
      <c r="H17" s="6">
        <v>5600000.0</v>
      </c>
      <c r="I17" s="6">
        <v>30000.0</v>
      </c>
      <c r="J17" s="6">
        <v>22000.0</v>
      </c>
      <c r="K17" s="6">
        <v>85000.0</v>
      </c>
      <c r="L17" s="6">
        <v>458960.0</v>
      </c>
      <c r="M17" s="6">
        <f t="shared" si="1"/>
        <v>3598000</v>
      </c>
      <c r="N17" s="6">
        <f t="shared" si="2"/>
        <v>4642160</v>
      </c>
      <c r="O17" s="6" t="s">
        <v>41</v>
      </c>
      <c r="P17" s="6" t="s">
        <v>43</v>
      </c>
    </row>
    <row r="18">
      <c r="A18" s="6" t="s">
        <v>156</v>
      </c>
      <c r="B18" s="6" t="s">
        <v>157</v>
      </c>
      <c r="C18" s="6" t="s">
        <v>158</v>
      </c>
      <c r="D18" s="6" t="s">
        <v>159</v>
      </c>
      <c r="E18" s="6" t="s">
        <v>72</v>
      </c>
      <c r="F18" s="6" t="s">
        <v>74</v>
      </c>
      <c r="G18" s="8">
        <v>45033.0</v>
      </c>
      <c r="H18" s="6">
        <v>2800000.0</v>
      </c>
      <c r="I18" s="6">
        <v>80000.0</v>
      </c>
      <c r="J18" s="6">
        <v>90000.0</v>
      </c>
      <c r="K18" s="6">
        <v>35000.0</v>
      </c>
      <c r="L18" s="6">
        <v>255425.0</v>
      </c>
      <c r="M18" s="6">
        <f t="shared" si="1"/>
        <v>2380000</v>
      </c>
      <c r="N18" s="6">
        <f t="shared" si="2"/>
        <v>2302700</v>
      </c>
      <c r="O18" s="6" t="s">
        <v>41</v>
      </c>
      <c r="P18" s="6" t="s">
        <v>43</v>
      </c>
    </row>
    <row r="19">
      <c r="A19" s="6" t="s">
        <v>161</v>
      </c>
      <c r="B19" s="6" t="s">
        <v>162</v>
      </c>
      <c r="C19" s="6" t="s">
        <v>163</v>
      </c>
      <c r="D19" s="6" t="s">
        <v>164</v>
      </c>
      <c r="E19" s="6" t="s">
        <v>55</v>
      </c>
      <c r="F19" s="6" t="s">
        <v>38</v>
      </c>
      <c r="G19" s="8">
        <v>42023.0</v>
      </c>
      <c r="H19" s="6">
        <v>1.05E7</v>
      </c>
      <c r="I19" s="6">
        <v>60000.0</v>
      </c>
      <c r="J19" s="6">
        <v>10000.0</v>
      </c>
      <c r="K19" s="6">
        <v>120000.0</v>
      </c>
      <c r="L19" s="6">
        <v>962100.0</v>
      </c>
      <c r="M19" s="6">
        <f t="shared" si="1"/>
        <v>7355000</v>
      </c>
      <c r="N19" s="6">
        <f t="shared" si="2"/>
        <v>5553050</v>
      </c>
      <c r="O19" s="6" t="s">
        <v>41</v>
      </c>
      <c r="P19" s="6" t="s">
        <v>43</v>
      </c>
    </row>
    <row r="20">
      <c r="A20" s="6" t="s">
        <v>166</v>
      </c>
      <c r="B20" s="6" t="s">
        <v>167</v>
      </c>
      <c r="C20" s="6" t="s">
        <v>168</v>
      </c>
      <c r="D20" s="6" t="s">
        <v>169</v>
      </c>
      <c r="E20" s="6" t="s">
        <v>125</v>
      </c>
      <c r="F20" s="6" t="s">
        <v>74</v>
      </c>
      <c r="G20" s="8">
        <v>44046.0</v>
      </c>
      <c r="H20" s="6">
        <v>4100000.0</v>
      </c>
      <c r="I20" s="6">
        <v>20000.0</v>
      </c>
      <c r="J20" s="6">
        <v>50000.0</v>
      </c>
      <c r="K20" s="6">
        <v>60000.0</v>
      </c>
      <c r="L20" s="6">
        <v>338400.0</v>
      </c>
      <c r="M20" s="6">
        <f t="shared" si="1"/>
        <v>5737000</v>
      </c>
      <c r="N20" s="6">
        <f t="shared" si="2"/>
        <v>3139040</v>
      </c>
      <c r="O20" s="6" t="s">
        <v>41</v>
      </c>
      <c r="P20" s="6" t="s">
        <v>43</v>
      </c>
    </row>
    <row r="21" ht="15.75" customHeight="1">
      <c r="A21" s="6" t="s">
        <v>171</v>
      </c>
      <c r="B21" s="6" t="s">
        <v>172</v>
      </c>
      <c r="C21" s="6" t="s">
        <v>173</v>
      </c>
      <c r="D21" s="6" t="s">
        <v>174</v>
      </c>
      <c r="E21" s="6" t="s">
        <v>109</v>
      </c>
      <c r="F21" s="6" t="s">
        <v>38</v>
      </c>
      <c r="G21" s="8">
        <v>44375.0</v>
      </c>
      <c r="H21" s="6">
        <v>3700000.0</v>
      </c>
      <c r="I21" s="6">
        <v>30000.0</v>
      </c>
      <c r="J21" s="6">
        <v>12000.0</v>
      </c>
      <c r="K21" s="6">
        <v>45000.0</v>
      </c>
      <c r="L21" s="6">
        <v>321895.0</v>
      </c>
      <c r="M21" s="6">
        <f t="shared" si="1"/>
        <v>3005000</v>
      </c>
      <c r="N21" s="6">
        <f t="shared" si="2"/>
        <v>2124575</v>
      </c>
      <c r="O21" s="6" t="s">
        <v>41</v>
      </c>
      <c r="P21" s="6" t="s">
        <v>43</v>
      </c>
    </row>
    <row r="22" ht="15.75" customHeight="1">
      <c r="A22" s="6" t="s">
        <v>176</v>
      </c>
      <c r="B22" s="6" t="s">
        <v>177</v>
      </c>
      <c r="C22" s="6" t="s">
        <v>178</v>
      </c>
      <c r="D22" s="6" t="s">
        <v>179</v>
      </c>
      <c r="E22" s="6" t="s">
        <v>100</v>
      </c>
      <c r="F22" s="6" t="s">
        <v>74</v>
      </c>
      <c r="G22" s="8">
        <v>43507.0</v>
      </c>
      <c r="H22" s="6">
        <v>4500000.0</v>
      </c>
      <c r="I22" s="6">
        <v>20000.0</v>
      </c>
      <c r="J22" s="6">
        <v>65000.0</v>
      </c>
      <c r="K22" s="6">
        <v>65000.0</v>
      </c>
      <c r="L22" s="6">
        <v>418500.0</v>
      </c>
      <c r="M22" s="6">
        <f t="shared" si="1"/>
        <v>10690000</v>
      </c>
      <c r="N22" s="6">
        <f t="shared" si="2"/>
        <v>6392900</v>
      </c>
      <c r="O22" s="6" t="s">
        <v>41</v>
      </c>
      <c r="P22" s="6" t="s">
        <v>43</v>
      </c>
    </row>
    <row r="23" ht="15.75" customHeight="1">
      <c r="A23" s="6" t="s">
        <v>181</v>
      </c>
      <c r="B23" s="6" t="s">
        <v>182</v>
      </c>
      <c r="C23" s="6" t="s">
        <v>183</v>
      </c>
      <c r="D23" s="6" t="s">
        <v>184</v>
      </c>
      <c r="E23" s="6" t="s">
        <v>92</v>
      </c>
      <c r="F23" s="6" t="s">
        <v>38</v>
      </c>
      <c r="G23" s="8">
        <v>42800.0</v>
      </c>
      <c r="H23" s="6">
        <v>5900000.0</v>
      </c>
      <c r="I23" s="6">
        <v>50000.0</v>
      </c>
      <c r="J23" s="6">
        <v>25000.0</v>
      </c>
      <c r="K23" s="6">
        <v>75000.0</v>
      </c>
      <c r="L23" s="6">
        <v>484000.0</v>
      </c>
      <c r="M23" s="6">
        <f t="shared" si="1"/>
        <v>4230000</v>
      </c>
      <c r="N23" s="6">
        <f t="shared" si="2"/>
        <v>5398600</v>
      </c>
      <c r="O23" s="6" t="s">
        <v>41</v>
      </c>
      <c r="P23" s="6" t="s">
        <v>43</v>
      </c>
    </row>
    <row r="24" ht="15.75" customHeight="1">
      <c r="A24" s="6" t="s">
        <v>186</v>
      </c>
      <c r="B24" s="6" t="s">
        <v>187</v>
      </c>
      <c r="C24" s="6" t="s">
        <v>188</v>
      </c>
      <c r="D24" s="6" t="s">
        <v>190</v>
      </c>
      <c r="E24" s="6" t="s">
        <v>132</v>
      </c>
      <c r="F24" s="6" t="s">
        <v>101</v>
      </c>
      <c r="G24" s="8">
        <v>45432.0</v>
      </c>
      <c r="H24" s="6">
        <v>2200000.0</v>
      </c>
      <c r="I24" s="6">
        <v>10000.0</v>
      </c>
      <c r="J24" s="6">
        <v>55000.0</v>
      </c>
      <c r="K24" s="6">
        <v>25000.0</v>
      </c>
      <c r="L24" s="6">
        <v>194650.0</v>
      </c>
      <c r="M24" s="6">
        <f t="shared" si="1"/>
        <v>3787000</v>
      </c>
      <c r="N24" s="6">
        <f t="shared" si="2"/>
        <v>2683105</v>
      </c>
      <c r="O24" s="6" t="s">
        <v>41</v>
      </c>
      <c r="P24" s="6" t="s">
        <v>43</v>
      </c>
    </row>
    <row r="25" ht="15.75" customHeight="1">
      <c r="A25" s="6" t="s">
        <v>191</v>
      </c>
      <c r="B25" s="6" t="s">
        <v>192</v>
      </c>
      <c r="C25" s="6" t="s">
        <v>193</v>
      </c>
      <c r="D25" s="6" t="s">
        <v>194</v>
      </c>
      <c r="E25" s="6" t="s">
        <v>145</v>
      </c>
      <c r="F25" s="6" t="s">
        <v>38</v>
      </c>
      <c r="G25" s="8">
        <v>42611.0</v>
      </c>
      <c r="H25" s="6">
        <v>6800000.0</v>
      </c>
      <c r="I25" s="6">
        <v>40000.0</v>
      </c>
      <c r="J25" s="6">
        <v>16000.0</v>
      </c>
      <c r="K25" s="6">
        <v>90000.0</v>
      </c>
      <c r="L25" s="6">
        <v>625140.0</v>
      </c>
      <c r="M25" s="6">
        <f t="shared" si="1"/>
        <v>4650000</v>
      </c>
      <c r="N25" s="6">
        <f t="shared" si="2"/>
        <v>10271500</v>
      </c>
      <c r="O25" s="6" t="s">
        <v>41</v>
      </c>
      <c r="P25" s="6" t="s">
        <v>197</v>
      </c>
    </row>
    <row r="26" ht="15.75" customHeight="1">
      <c r="A26" s="6" t="s">
        <v>198</v>
      </c>
      <c r="B26" s="6" t="s">
        <v>199</v>
      </c>
      <c r="C26" s="6" t="s">
        <v>200</v>
      </c>
      <c r="D26" s="6" t="s">
        <v>201</v>
      </c>
      <c r="E26" s="6" t="s">
        <v>36</v>
      </c>
      <c r="F26" s="6" t="s">
        <v>74</v>
      </c>
      <c r="G26" s="8">
        <v>44585.0</v>
      </c>
      <c r="H26" s="6">
        <v>3200000.0</v>
      </c>
      <c r="I26" s="6">
        <v>20000.0</v>
      </c>
      <c r="J26" s="6">
        <v>45000.0</v>
      </c>
      <c r="K26" s="6">
        <v>40000.0</v>
      </c>
      <c r="L26" s="6">
        <v>264400.0</v>
      </c>
      <c r="M26" s="6">
        <f t="shared" si="1"/>
        <v>6050000</v>
      </c>
      <c r="N26" s="6">
        <f t="shared" si="2"/>
        <v>3746000</v>
      </c>
      <c r="O26" s="6" t="s">
        <v>41</v>
      </c>
      <c r="P26" s="6" t="s">
        <v>197</v>
      </c>
    </row>
    <row r="27" ht="15.75" customHeight="1">
      <c r="A27" s="6" t="s">
        <v>204</v>
      </c>
      <c r="B27" s="6" t="s">
        <v>205</v>
      </c>
      <c r="C27" s="6" t="s">
        <v>206</v>
      </c>
      <c r="D27" s="6" t="s">
        <v>207</v>
      </c>
      <c r="E27" s="6" t="s">
        <v>82</v>
      </c>
      <c r="F27" s="6" t="s">
        <v>38</v>
      </c>
      <c r="G27" s="8">
        <v>44172.0</v>
      </c>
      <c r="H27" s="6">
        <v>4000000.0</v>
      </c>
      <c r="I27" s="6">
        <v>30000.0</v>
      </c>
      <c r="J27" s="6">
        <v>32000.0</v>
      </c>
      <c r="K27" s="6">
        <v>55000.0</v>
      </c>
      <c r="L27" s="6">
        <v>349945.0</v>
      </c>
      <c r="M27" s="6">
        <f t="shared" si="1"/>
        <v>2290000</v>
      </c>
      <c r="N27" s="6">
        <f t="shared" si="2"/>
        <v>3592350</v>
      </c>
      <c r="O27" s="6" t="s">
        <v>41</v>
      </c>
      <c r="P27" s="6" t="s">
        <v>197</v>
      </c>
    </row>
    <row r="28" ht="15.75" customHeight="1">
      <c r="A28" s="6" t="s">
        <v>208</v>
      </c>
      <c r="B28" s="6" t="s">
        <v>209</v>
      </c>
      <c r="C28" s="6" t="s">
        <v>211</v>
      </c>
      <c r="D28" s="6" t="s">
        <v>212</v>
      </c>
      <c r="E28" s="6" t="s">
        <v>72</v>
      </c>
      <c r="F28" s="6" t="s">
        <v>38</v>
      </c>
      <c r="G28" s="8">
        <v>42898.0</v>
      </c>
      <c r="H28" s="6">
        <v>7500000.0</v>
      </c>
      <c r="I28" s="6">
        <v>100000.0</v>
      </c>
      <c r="J28" s="6">
        <v>20000.0</v>
      </c>
      <c r="K28" s="6">
        <v>100000.0</v>
      </c>
      <c r="L28" s="6">
        <v>694800.0</v>
      </c>
      <c r="M28" s="6">
        <f t="shared" si="1"/>
        <v>6946000</v>
      </c>
      <c r="N28" s="6">
        <f t="shared" si="2"/>
        <v>4024860</v>
      </c>
      <c r="O28" s="6" t="s">
        <v>41</v>
      </c>
      <c r="P28" s="6" t="s">
        <v>197</v>
      </c>
    </row>
    <row r="29" ht="15.75" customHeight="1">
      <c r="A29" s="6" t="s">
        <v>214</v>
      </c>
      <c r="B29" s="6" t="s">
        <v>215</v>
      </c>
      <c r="C29" s="6" t="s">
        <v>216</v>
      </c>
      <c r="D29" s="6" t="s">
        <v>217</v>
      </c>
      <c r="E29" s="6" t="s">
        <v>55</v>
      </c>
      <c r="F29" s="6" t="s">
        <v>74</v>
      </c>
      <c r="G29" s="8">
        <v>44956.0</v>
      </c>
      <c r="H29" s="6">
        <v>3400000.0</v>
      </c>
      <c r="I29" s="6">
        <v>20000.0</v>
      </c>
      <c r="J29" s="6">
        <v>25000.0</v>
      </c>
      <c r="K29" s="6">
        <v>45000.0</v>
      </c>
      <c r="L29" s="6">
        <v>279200.0</v>
      </c>
      <c r="M29" s="6">
        <f t="shared" si="1"/>
        <v>3305000</v>
      </c>
      <c r="N29" s="6">
        <f t="shared" si="2"/>
        <v>5785600</v>
      </c>
      <c r="O29" s="6" t="s">
        <v>41</v>
      </c>
      <c r="P29" s="6" t="s">
        <v>197</v>
      </c>
    </row>
    <row r="30" ht="15.75" customHeight="1">
      <c r="A30" s="6" t="s">
        <v>219</v>
      </c>
      <c r="B30" s="6" t="s">
        <v>220</v>
      </c>
      <c r="C30" s="6" t="s">
        <v>221</v>
      </c>
      <c r="D30" s="6" t="s">
        <v>222</v>
      </c>
      <c r="E30" s="6" t="s">
        <v>109</v>
      </c>
      <c r="F30" s="6" t="s">
        <v>101</v>
      </c>
      <c r="G30" s="8">
        <v>45306.0</v>
      </c>
      <c r="H30" s="6">
        <v>2900000.0</v>
      </c>
      <c r="I30" s="6">
        <v>30000.0</v>
      </c>
      <c r="J30" s="6">
        <v>15000.0</v>
      </c>
      <c r="K30" s="6">
        <v>35000.0</v>
      </c>
      <c r="L30" s="6">
        <v>253300.0</v>
      </c>
      <c r="M30" s="6">
        <f t="shared" si="1"/>
        <v>4117000</v>
      </c>
      <c r="N30" s="6">
        <f t="shared" si="2"/>
        <v>1940055</v>
      </c>
      <c r="O30" s="6" t="s">
        <v>41</v>
      </c>
      <c r="P30" s="6" t="s">
        <v>197</v>
      </c>
    </row>
    <row r="31" ht="15.75" customHeight="1">
      <c r="A31" s="6" t="s">
        <v>224</v>
      </c>
      <c r="B31" s="6" t="s">
        <v>225</v>
      </c>
      <c r="C31" s="6" t="s">
        <v>226</v>
      </c>
      <c r="D31" s="6" t="s">
        <v>227</v>
      </c>
      <c r="E31" s="6" t="s">
        <v>125</v>
      </c>
      <c r="F31" s="6" t="s">
        <v>38</v>
      </c>
      <c r="G31" s="8">
        <v>43696.0</v>
      </c>
      <c r="H31" s="6">
        <v>3900000.0</v>
      </c>
      <c r="I31" s="6">
        <v>20000.0</v>
      </c>
      <c r="J31" s="6">
        <v>35000.0</v>
      </c>
      <c r="K31" s="6">
        <v>50000.0</v>
      </c>
      <c r="L31" s="6">
        <v>360450.0</v>
      </c>
      <c r="M31" s="6">
        <f t="shared" si="1"/>
        <v>7720000</v>
      </c>
      <c r="N31" s="6">
        <f t="shared" si="2"/>
        <v>6251200</v>
      </c>
      <c r="O31" s="6" t="s">
        <v>41</v>
      </c>
      <c r="P31" s="6" t="s">
        <v>197</v>
      </c>
    </row>
    <row r="32" ht="15.75" customHeight="1">
      <c r="A32" s="6" t="s">
        <v>228</v>
      </c>
      <c r="B32" s="6" t="s">
        <v>229</v>
      </c>
      <c r="C32" s="6" t="s">
        <v>230</v>
      </c>
      <c r="D32" s="6" t="s">
        <v>231</v>
      </c>
      <c r="E32" s="6" t="s">
        <v>138</v>
      </c>
      <c r="F32" s="6" t="s">
        <v>74</v>
      </c>
      <c r="G32" s="8">
        <v>43437.0</v>
      </c>
      <c r="H32" s="6">
        <v>5000000.0</v>
      </c>
      <c r="I32" s="6">
        <v>20000.0</v>
      </c>
      <c r="J32" s="6">
        <v>18000.0</v>
      </c>
      <c r="K32" s="6">
        <v>65000.0</v>
      </c>
      <c r="L32" s="6">
        <v>408240.0</v>
      </c>
      <c r="M32" s="6">
        <f t="shared" si="1"/>
        <v>3490000</v>
      </c>
      <c r="N32" s="6">
        <f t="shared" si="2"/>
        <v>3025800</v>
      </c>
      <c r="O32" s="6" t="s">
        <v>41</v>
      </c>
      <c r="P32" s="6" t="s">
        <v>197</v>
      </c>
    </row>
    <row r="33" ht="15.75" customHeight="1">
      <c r="A33" s="6" t="s">
        <v>233</v>
      </c>
      <c r="B33" s="6" t="s">
        <v>234</v>
      </c>
      <c r="C33" s="6" t="s">
        <v>235</v>
      </c>
      <c r="D33" s="6" t="s">
        <v>236</v>
      </c>
      <c r="E33" s="6" t="s">
        <v>100</v>
      </c>
      <c r="F33" s="6" t="s">
        <v>74</v>
      </c>
      <c r="G33" s="8">
        <v>44753.0</v>
      </c>
      <c r="H33" s="6">
        <v>3300000.0</v>
      </c>
      <c r="I33" s="6">
        <v>10000.0</v>
      </c>
      <c r="J33" s="6">
        <v>50000.0</v>
      </c>
      <c r="K33" s="6">
        <v>35000.0</v>
      </c>
      <c r="L33" s="6">
        <v>288575.0</v>
      </c>
      <c r="M33" s="6">
        <f t="shared" si="1"/>
        <v>2980000</v>
      </c>
      <c r="N33" s="6">
        <f t="shared" si="2"/>
        <v>3863700</v>
      </c>
      <c r="O33" s="6" t="s">
        <v>41</v>
      </c>
      <c r="P33" s="6" t="s">
        <v>197</v>
      </c>
    </row>
    <row r="34" ht="15.75" customHeight="1">
      <c r="A34" s="6" t="s">
        <v>238</v>
      </c>
      <c r="B34" s="6" t="s">
        <v>239</v>
      </c>
      <c r="C34" s="6" t="s">
        <v>240</v>
      </c>
      <c r="D34" s="6" t="s">
        <v>241</v>
      </c>
      <c r="E34" s="6" t="s">
        <v>145</v>
      </c>
      <c r="F34" s="6" t="s">
        <v>38</v>
      </c>
      <c r="G34" s="11">
        <v>44473.0</v>
      </c>
      <c r="H34" s="6">
        <v>3600000.0</v>
      </c>
      <c r="I34" s="6">
        <v>20000.0</v>
      </c>
      <c r="J34" s="6">
        <v>20000.0</v>
      </c>
      <c r="K34" s="6">
        <v>45000.0</v>
      </c>
      <c r="L34" s="6">
        <v>331650.0</v>
      </c>
      <c r="M34" s="6">
        <f t="shared" si="1"/>
        <v>4005000</v>
      </c>
      <c r="N34" s="6">
        <f t="shared" si="2"/>
        <v>7359550</v>
      </c>
      <c r="O34" s="6" t="s">
        <v>41</v>
      </c>
      <c r="P34" s="6" t="s">
        <v>197</v>
      </c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f t="shared" si="1"/>
        <v>5103000</v>
      </c>
      <c r="N35" s="6">
        <f t="shared" si="2"/>
        <v>3081760</v>
      </c>
      <c r="O35" s="6"/>
      <c r="P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f t="shared" si="1"/>
        <v>3395000</v>
      </c>
      <c r="N36" s="6">
        <f t="shared" si="2"/>
        <v>2691425</v>
      </c>
      <c r="O36" s="6"/>
      <c r="P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f t="shared" si="1"/>
        <v>3685000</v>
      </c>
      <c r="N37" s="6">
        <f t="shared" si="2"/>
        <v>3673350</v>
      </c>
      <c r="O37" s="6"/>
      <c r="P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3" width="12.0"/>
    <col customWidth="1" min="4" max="4" width="18.0"/>
    <col customWidth="1" min="5" max="5" width="28.0"/>
    <col customWidth="1" min="6" max="6" width="12.0"/>
    <col customWidth="1" min="7" max="7" width="14.0"/>
    <col customWidth="1" min="8" max="8" width="17.0"/>
    <col customWidth="1" min="9" max="10" width="14.0"/>
    <col customWidth="1" min="11" max="11" width="28.0"/>
    <col customWidth="1" min="12" max="12" width="21.0"/>
    <col customWidth="1" min="13" max="14" width="15.0"/>
    <col customWidth="1" min="15" max="15" width="14.0"/>
    <col customWidth="1" min="16" max="16" width="19.0"/>
    <col customWidth="1" min="17" max="17" width="17.0"/>
    <col customWidth="1" min="18" max="18" width="14.0"/>
    <col customWidth="1" min="19" max="19" width="27.0"/>
    <col customWidth="1" min="20" max="26" width="8.57"/>
  </cols>
  <sheetData>
    <row r="1" ht="30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13</v>
      </c>
      <c r="H4" s="6" t="s">
        <v>15</v>
      </c>
      <c r="I4" s="6" t="s">
        <v>17</v>
      </c>
      <c r="J4" s="6" t="s">
        <v>20</v>
      </c>
      <c r="K4" s="6" t="s">
        <v>12</v>
      </c>
      <c r="L4" s="6" t="s">
        <v>14</v>
      </c>
      <c r="M4" s="6" t="s">
        <v>18</v>
      </c>
      <c r="N4" s="6" t="s">
        <v>16</v>
      </c>
      <c r="O4" s="6" t="s">
        <v>28</v>
      </c>
      <c r="P4" s="6" t="s">
        <v>30</v>
      </c>
      <c r="Q4" s="6" t="s">
        <v>29</v>
      </c>
      <c r="R4" s="6" t="s">
        <v>34</v>
      </c>
      <c r="S4" s="6" t="s">
        <v>37</v>
      </c>
    </row>
    <row r="5">
      <c r="A5" s="6" t="s">
        <v>31</v>
      </c>
      <c r="B5" s="6" t="s">
        <v>32</v>
      </c>
      <c r="C5" s="6" t="s">
        <v>33</v>
      </c>
      <c r="D5" s="8">
        <v>29221.0</v>
      </c>
      <c r="E5" s="6"/>
      <c r="F5" s="6" t="s">
        <v>45</v>
      </c>
      <c r="G5" s="6" t="s">
        <v>49</v>
      </c>
      <c r="H5" s="6" t="s">
        <v>52</v>
      </c>
      <c r="I5" s="6" t="s">
        <v>57</v>
      </c>
      <c r="J5" s="6">
        <v>0.0</v>
      </c>
      <c r="K5" s="6" t="s">
        <v>35</v>
      </c>
      <c r="L5" s="6" t="s">
        <v>36</v>
      </c>
      <c r="M5" s="8">
        <v>43143.0</v>
      </c>
      <c r="N5" s="6" t="s">
        <v>38</v>
      </c>
      <c r="O5" s="6" t="s">
        <v>63</v>
      </c>
      <c r="P5" s="6" t="s">
        <v>65</v>
      </c>
      <c r="Q5" s="6" t="s">
        <v>43</v>
      </c>
      <c r="R5" s="8">
        <v>44548.0</v>
      </c>
      <c r="S5" s="6" t="s">
        <v>73</v>
      </c>
    </row>
    <row r="6">
      <c r="A6" s="6" t="s">
        <v>46</v>
      </c>
      <c r="B6" s="6" t="s">
        <v>48</v>
      </c>
      <c r="C6" s="6" t="s">
        <v>51</v>
      </c>
      <c r="D6" s="8">
        <v>29621.0</v>
      </c>
      <c r="E6" s="6"/>
      <c r="F6" s="6" t="s">
        <v>75</v>
      </c>
      <c r="G6" s="6" t="s">
        <v>76</v>
      </c>
      <c r="H6" s="6" t="s">
        <v>52</v>
      </c>
      <c r="I6" s="6" t="s">
        <v>79</v>
      </c>
      <c r="J6" s="6">
        <v>1.0</v>
      </c>
      <c r="K6" s="6" t="s">
        <v>54</v>
      </c>
      <c r="L6" s="6" t="s">
        <v>55</v>
      </c>
      <c r="M6" s="8">
        <v>43997.0</v>
      </c>
      <c r="N6" s="6" t="s">
        <v>38</v>
      </c>
      <c r="O6" s="6" t="s">
        <v>63</v>
      </c>
      <c r="P6" s="6" t="s">
        <v>65</v>
      </c>
      <c r="Q6" s="6" t="s">
        <v>43</v>
      </c>
      <c r="R6" s="8">
        <v>45063.0</v>
      </c>
      <c r="S6" s="6" t="s">
        <v>84</v>
      </c>
    </row>
    <row r="7">
      <c r="A7" s="6" t="s">
        <v>67</v>
      </c>
      <c r="B7" s="6" t="s">
        <v>68</v>
      </c>
      <c r="C7" s="6" t="s">
        <v>70</v>
      </c>
      <c r="D7" s="8">
        <v>30017.0</v>
      </c>
      <c r="E7" s="6"/>
      <c r="F7" s="6" t="s">
        <v>45</v>
      </c>
      <c r="G7" s="6" t="s">
        <v>85</v>
      </c>
      <c r="H7" s="6" t="s">
        <v>52</v>
      </c>
      <c r="I7" s="6" t="s">
        <v>87</v>
      </c>
      <c r="J7" s="6">
        <v>2.0</v>
      </c>
      <c r="K7" s="6" t="s">
        <v>71</v>
      </c>
      <c r="L7" s="6" t="s">
        <v>72</v>
      </c>
      <c r="M7" s="8">
        <v>44214.0</v>
      </c>
      <c r="N7" s="6" t="s">
        <v>74</v>
      </c>
      <c r="O7" s="6" t="s">
        <v>63</v>
      </c>
      <c r="P7" s="6" t="s">
        <v>93</v>
      </c>
      <c r="Q7" s="6" t="s">
        <v>43</v>
      </c>
      <c r="R7" s="8">
        <v>45219.0</v>
      </c>
      <c r="S7" s="6" t="s">
        <v>94</v>
      </c>
    </row>
    <row r="8">
      <c r="A8" s="6" t="s">
        <v>77</v>
      </c>
      <c r="B8" s="6" t="s">
        <v>78</v>
      </c>
      <c r="C8" s="6" t="s">
        <v>80</v>
      </c>
      <c r="D8" s="8">
        <v>30416.0</v>
      </c>
      <c r="E8" s="6">
        <f t="shared" ref="E8:E37" si="1">DATEDIF(D5,DATE(2026,9,1),"Y")</f>
        <v>46</v>
      </c>
      <c r="F8" s="6" t="s">
        <v>75</v>
      </c>
      <c r="G8" s="6" t="s">
        <v>102</v>
      </c>
      <c r="H8" s="6" t="s">
        <v>52</v>
      </c>
      <c r="I8" s="6" t="s">
        <v>57</v>
      </c>
      <c r="J8" s="6">
        <v>3.0</v>
      </c>
      <c r="K8" s="6" t="s">
        <v>81</v>
      </c>
      <c r="L8" s="6" t="s">
        <v>82</v>
      </c>
      <c r="M8" s="8">
        <v>42982.0</v>
      </c>
      <c r="N8" s="6" t="s">
        <v>38</v>
      </c>
      <c r="O8" s="6" t="s">
        <v>63</v>
      </c>
      <c r="P8" s="6" t="s">
        <v>93</v>
      </c>
      <c r="Q8" s="6" t="s">
        <v>43</v>
      </c>
      <c r="R8" s="8">
        <v>44657.0</v>
      </c>
      <c r="S8" s="6" t="s">
        <v>73</v>
      </c>
    </row>
    <row r="9">
      <c r="A9" s="6" t="s">
        <v>88</v>
      </c>
      <c r="B9" s="6" t="s">
        <v>89</v>
      </c>
      <c r="C9" s="6" t="s">
        <v>90</v>
      </c>
      <c r="D9" s="8">
        <v>30815.0</v>
      </c>
      <c r="E9" s="6">
        <f t="shared" si="1"/>
        <v>45</v>
      </c>
      <c r="F9" s="6" t="s">
        <v>45</v>
      </c>
      <c r="G9" s="6" t="s">
        <v>127</v>
      </c>
      <c r="H9" s="6" t="s">
        <v>52</v>
      </c>
      <c r="I9" s="6" t="s">
        <v>79</v>
      </c>
      <c r="J9" s="6">
        <v>0.0</v>
      </c>
      <c r="K9" s="6" t="s">
        <v>91</v>
      </c>
      <c r="L9" s="6" t="s">
        <v>92</v>
      </c>
      <c r="M9" s="8">
        <v>44641.0</v>
      </c>
      <c r="N9" s="6" t="s">
        <v>74</v>
      </c>
      <c r="O9" s="6" t="s">
        <v>63</v>
      </c>
      <c r="P9" s="6" t="s">
        <v>65</v>
      </c>
      <c r="Q9" s="6" t="s">
        <v>43</v>
      </c>
      <c r="R9" s="8">
        <v>45502.0</v>
      </c>
      <c r="S9" s="6" t="s">
        <v>73</v>
      </c>
    </row>
    <row r="10">
      <c r="A10" s="6" t="s">
        <v>96</v>
      </c>
      <c r="B10" s="6" t="s">
        <v>97</v>
      </c>
      <c r="C10" s="6" t="s">
        <v>98</v>
      </c>
      <c r="D10" s="8">
        <v>31214.0</v>
      </c>
      <c r="E10" s="6">
        <f t="shared" si="1"/>
        <v>44</v>
      </c>
      <c r="F10" s="6" t="s">
        <v>75</v>
      </c>
      <c r="G10" s="6" t="s">
        <v>49</v>
      </c>
      <c r="H10" s="6" t="s">
        <v>133</v>
      </c>
      <c r="I10" s="6" t="s">
        <v>87</v>
      </c>
      <c r="J10" s="6">
        <v>1.0</v>
      </c>
      <c r="K10" s="6" t="s">
        <v>99</v>
      </c>
      <c r="L10" s="6" t="s">
        <v>100</v>
      </c>
      <c r="M10" s="8">
        <v>45117.0</v>
      </c>
      <c r="N10" s="6" t="s">
        <v>101</v>
      </c>
      <c r="O10" s="6" t="s">
        <v>63</v>
      </c>
      <c r="P10" s="6" t="s">
        <v>93</v>
      </c>
      <c r="Q10" s="6" t="s">
        <v>43</v>
      </c>
      <c r="R10" s="8">
        <v>45749.0</v>
      </c>
      <c r="S10" s="6" t="s">
        <v>140</v>
      </c>
    </row>
    <row r="11">
      <c r="A11" s="6" t="s">
        <v>103</v>
      </c>
      <c r="B11" s="6" t="s">
        <v>104</v>
      </c>
      <c r="C11" s="6" t="s">
        <v>106</v>
      </c>
      <c r="D11" s="8">
        <v>31612.0</v>
      </c>
      <c r="E11" s="6">
        <f t="shared" si="1"/>
        <v>43</v>
      </c>
      <c r="F11" s="6" t="s">
        <v>45</v>
      </c>
      <c r="G11" s="6" t="s">
        <v>76</v>
      </c>
      <c r="H11" s="6" t="s">
        <v>52</v>
      </c>
      <c r="I11" s="6" t="s">
        <v>57</v>
      </c>
      <c r="J11" s="6">
        <v>2.0</v>
      </c>
      <c r="K11" s="6" t="s">
        <v>108</v>
      </c>
      <c r="L11" s="6" t="s">
        <v>109</v>
      </c>
      <c r="M11" s="8">
        <v>43794.0</v>
      </c>
      <c r="N11" s="6" t="s">
        <v>38</v>
      </c>
      <c r="O11" s="6" t="s">
        <v>63</v>
      </c>
      <c r="P11" s="6" t="s">
        <v>150</v>
      </c>
      <c r="Q11" s="6" t="s">
        <v>43</v>
      </c>
      <c r="R11" s="8">
        <v>45203.0</v>
      </c>
      <c r="S11" s="6" t="s">
        <v>84</v>
      </c>
    </row>
    <row r="12">
      <c r="A12" s="6" t="s">
        <v>119</v>
      </c>
      <c r="B12" s="6" t="s">
        <v>120</v>
      </c>
      <c r="C12" s="6" t="s">
        <v>122</v>
      </c>
      <c r="D12" s="8">
        <v>32011.0</v>
      </c>
      <c r="E12" s="6">
        <f t="shared" si="1"/>
        <v>42</v>
      </c>
      <c r="F12" s="6" t="s">
        <v>75</v>
      </c>
      <c r="G12" s="6" t="s">
        <v>85</v>
      </c>
      <c r="H12" s="6" t="s">
        <v>133</v>
      </c>
      <c r="I12" s="6" t="s">
        <v>79</v>
      </c>
      <c r="J12" s="6">
        <v>3.0</v>
      </c>
      <c r="K12" s="6" t="s">
        <v>124</v>
      </c>
      <c r="L12" s="6" t="s">
        <v>125</v>
      </c>
      <c r="M12" s="8">
        <v>45327.0</v>
      </c>
      <c r="N12" s="6" t="s">
        <v>74</v>
      </c>
      <c r="O12" s="6" t="s">
        <v>63</v>
      </c>
      <c r="P12" s="6" t="s">
        <v>93</v>
      </c>
      <c r="Q12" s="6" t="s">
        <v>43</v>
      </c>
      <c r="R12" s="8">
        <v>45881.0</v>
      </c>
      <c r="S12" s="6" t="s">
        <v>73</v>
      </c>
    </row>
    <row r="13">
      <c r="A13" s="6" t="s">
        <v>128</v>
      </c>
      <c r="B13" s="6" t="s">
        <v>129</v>
      </c>
      <c r="C13" s="6" t="s">
        <v>130</v>
      </c>
      <c r="D13" s="8">
        <v>32411.0</v>
      </c>
      <c r="E13" s="6">
        <f t="shared" si="1"/>
        <v>41</v>
      </c>
      <c r="F13" s="6" t="s">
        <v>45</v>
      </c>
      <c r="G13" s="6" t="s">
        <v>102</v>
      </c>
      <c r="H13" s="6" t="s">
        <v>52</v>
      </c>
      <c r="I13" s="6" t="s">
        <v>87</v>
      </c>
      <c r="J13" s="6">
        <v>0.0</v>
      </c>
      <c r="K13" s="6" t="s">
        <v>131</v>
      </c>
      <c r="L13" s="6" t="s">
        <v>132</v>
      </c>
      <c r="M13" s="8">
        <v>42506.0</v>
      </c>
      <c r="N13" s="6" t="s">
        <v>38</v>
      </c>
      <c r="O13" s="6" t="s">
        <v>63</v>
      </c>
      <c r="P13" s="6" t="s">
        <v>65</v>
      </c>
      <c r="Q13" s="6" t="s">
        <v>43</v>
      </c>
      <c r="R13" s="8">
        <v>44198.0</v>
      </c>
      <c r="S13" s="6" t="s">
        <v>170</v>
      </c>
    </row>
    <row r="14">
      <c r="A14" s="6" t="s">
        <v>134</v>
      </c>
      <c r="B14" s="6" t="s">
        <v>135</v>
      </c>
      <c r="C14" s="6" t="s">
        <v>136</v>
      </c>
      <c r="D14" s="8">
        <v>32784.0</v>
      </c>
      <c r="E14" s="6">
        <f t="shared" si="1"/>
        <v>40</v>
      </c>
      <c r="F14" s="6" t="s">
        <v>75</v>
      </c>
      <c r="G14" s="6" t="s">
        <v>127</v>
      </c>
      <c r="H14" s="6" t="s">
        <v>52</v>
      </c>
      <c r="I14" s="6" t="s">
        <v>57</v>
      </c>
      <c r="J14" s="6">
        <v>1.0</v>
      </c>
      <c r="K14" s="6" t="s">
        <v>137</v>
      </c>
      <c r="L14" s="6" t="s">
        <v>138</v>
      </c>
      <c r="M14" s="8">
        <v>44816.0</v>
      </c>
      <c r="N14" s="6" t="s">
        <v>74</v>
      </c>
      <c r="O14" s="6" t="s">
        <v>63</v>
      </c>
      <c r="P14" s="6" t="s">
        <v>65</v>
      </c>
      <c r="Q14" s="6" t="s">
        <v>43</v>
      </c>
      <c r="R14" s="8">
        <v>45498.0</v>
      </c>
      <c r="S14" s="6" t="s">
        <v>73</v>
      </c>
    </row>
    <row r="15">
      <c r="A15" s="6" t="s">
        <v>141</v>
      </c>
      <c r="B15" s="6" t="s">
        <v>142</v>
      </c>
      <c r="C15" s="6" t="s">
        <v>143</v>
      </c>
      <c r="D15" s="8">
        <v>33183.0</v>
      </c>
      <c r="E15" s="6">
        <f t="shared" si="1"/>
        <v>39</v>
      </c>
      <c r="F15" s="6" t="s">
        <v>45</v>
      </c>
      <c r="G15" s="6" t="s">
        <v>49</v>
      </c>
      <c r="H15" s="6" t="s">
        <v>133</v>
      </c>
      <c r="I15" s="6" t="s">
        <v>79</v>
      </c>
      <c r="J15" s="6">
        <v>2.0</v>
      </c>
      <c r="K15" s="6" t="s">
        <v>144</v>
      </c>
      <c r="L15" s="6" t="s">
        <v>145</v>
      </c>
      <c r="M15" s="8">
        <v>45236.0</v>
      </c>
      <c r="N15" s="6" t="s">
        <v>101</v>
      </c>
      <c r="O15" s="6" t="s">
        <v>63</v>
      </c>
      <c r="P15" s="6" t="s">
        <v>93</v>
      </c>
      <c r="Q15" s="6" t="s">
        <v>43</v>
      </c>
      <c r="R15" s="8">
        <v>45741.0</v>
      </c>
      <c r="S15" s="6" t="s">
        <v>185</v>
      </c>
    </row>
    <row r="16">
      <c r="A16" s="6" t="s">
        <v>146</v>
      </c>
      <c r="B16" s="6" t="s">
        <v>147</v>
      </c>
      <c r="C16" s="6" t="s">
        <v>148</v>
      </c>
      <c r="D16" s="8">
        <v>33581.0</v>
      </c>
      <c r="E16" s="6">
        <f t="shared" si="1"/>
        <v>37</v>
      </c>
      <c r="F16" s="6" t="s">
        <v>75</v>
      </c>
      <c r="G16" s="6" t="s">
        <v>76</v>
      </c>
      <c r="H16" s="6" t="s">
        <v>52</v>
      </c>
      <c r="I16" s="6" t="s">
        <v>87</v>
      </c>
      <c r="J16" s="6">
        <v>3.0</v>
      </c>
      <c r="K16" s="6" t="s">
        <v>149</v>
      </c>
      <c r="L16" s="6" t="s">
        <v>36</v>
      </c>
      <c r="M16" s="8">
        <v>43563.0</v>
      </c>
      <c r="N16" s="6" t="s">
        <v>38</v>
      </c>
      <c r="O16" s="6" t="s">
        <v>63</v>
      </c>
      <c r="P16" s="6" t="s">
        <v>150</v>
      </c>
      <c r="Q16" s="6" t="s">
        <v>43</v>
      </c>
      <c r="R16" s="8">
        <v>44942.0</v>
      </c>
      <c r="S16" s="6" t="s">
        <v>73</v>
      </c>
    </row>
    <row r="17">
      <c r="A17" s="6" t="s">
        <v>152</v>
      </c>
      <c r="B17" s="6" t="s">
        <v>153</v>
      </c>
      <c r="C17" s="6" t="s">
        <v>154</v>
      </c>
      <c r="D17" s="8">
        <v>33615.0</v>
      </c>
      <c r="E17" s="6">
        <f t="shared" si="1"/>
        <v>36</v>
      </c>
      <c r="F17" s="6" t="s">
        <v>45</v>
      </c>
      <c r="G17" s="6" t="s">
        <v>85</v>
      </c>
      <c r="H17" s="6" t="s">
        <v>196</v>
      </c>
      <c r="I17" s="6" t="s">
        <v>57</v>
      </c>
      <c r="J17" s="6">
        <v>0.0</v>
      </c>
      <c r="K17" s="6" t="s">
        <v>155</v>
      </c>
      <c r="L17" s="6" t="s">
        <v>82</v>
      </c>
      <c r="M17" s="8">
        <v>43395.0</v>
      </c>
      <c r="N17" s="6" t="s">
        <v>38</v>
      </c>
      <c r="O17" s="6" t="s">
        <v>63</v>
      </c>
      <c r="P17" s="6" t="s">
        <v>93</v>
      </c>
      <c r="Q17" s="6" t="s">
        <v>43</v>
      </c>
      <c r="R17" s="8">
        <v>44917.0</v>
      </c>
      <c r="S17" s="6" t="s">
        <v>202</v>
      </c>
    </row>
    <row r="18">
      <c r="A18" s="6" t="s">
        <v>156</v>
      </c>
      <c r="B18" s="6" t="s">
        <v>157</v>
      </c>
      <c r="C18" s="6" t="s">
        <v>158</v>
      </c>
      <c r="D18" s="8">
        <v>34015.0</v>
      </c>
      <c r="E18" s="6">
        <f t="shared" si="1"/>
        <v>35</v>
      </c>
      <c r="F18" s="6" t="s">
        <v>75</v>
      </c>
      <c r="G18" s="6" t="s">
        <v>102</v>
      </c>
      <c r="H18" s="6" t="s">
        <v>133</v>
      </c>
      <c r="I18" s="6" t="s">
        <v>79</v>
      </c>
      <c r="J18" s="6">
        <v>1.0</v>
      </c>
      <c r="K18" s="6" t="s">
        <v>159</v>
      </c>
      <c r="L18" s="6" t="s">
        <v>72</v>
      </c>
      <c r="M18" s="8">
        <v>45033.0</v>
      </c>
      <c r="N18" s="6" t="s">
        <v>74</v>
      </c>
      <c r="O18" s="6" t="s">
        <v>63</v>
      </c>
      <c r="P18" s="6" t="s">
        <v>65</v>
      </c>
      <c r="Q18" s="6" t="s">
        <v>43</v>
      </c>
      <c r="R18" s="8">
        <v>45711.0</v>
      </c>
      <c r="S18" s="6" t="s">
        <v>73</v>
      </c>
    </row>
    <row r="19">
      <c r="A19" s="6" t="s">
        <v>161</v>
      </c>
      <c r="B19" s="6" t="s">
        <v>162</v>
      </c>
      <c r="C19" s="6" t="s">
        <v>163</v>
      </c>
      <c r="D19" s="8">
        <v>34411.0</v>
      </c>
      <c r="E19" s="6">
        <f t="shared" si="1"/>
        <v>34</v>
      </c>
      <c r="F19" s="6" t="s">
        <v>45</v>
      </c>
      <c r="G19" s="6" t="s">
        <v>127</v>
      </c>
      <c r="H19" s="6" t="s">
        <v>213</v>
      </c>
      <c r="I19" s="6" t="s">
        <v>87</v>
      </c>
      <c r="J19" s="6">
        <v>2.0</v>
      </c>
      <c r="K19" s="6" t="s">
        <v>164</v>
      </c>
      <c r="L19" s="6" t="s">
        <v>55</v>
      </c>
      <c r="M19" s="8">
        <v>42023.0</v>
      </c>
      <c r="N19" s="6" t="s">
        <v>38</v>
      </c>
      <c r="O19" s="6" t="s">
        <v>63</v>
      </c>
      <c r="P19" s="6" t="s">
        <v>65</v>
      </c>
      <c r="Q19" s="6" t="s">
        <v>43</v>
      </c>
      <c r="R19" s="8">
        <v>44442.0</v>
      </c>
      <c r="S19" s="6" t="s">
        <v>170</v>
      </c>
    </row>
    <row r="20">
      <c r="A20" s="6" t="s">
        <v>166</v>
      </c>
      <c r="B20" s="6" t="s">
        <v>167</v>
      </c>
      <c r="C20" s="6" t="s">
        <v>168</v>
      </c>
      <c r="D20" s="8">
        <v>34810.0</v>
      </c>
      <c r="E20" s="6">
        <f t="shared" si="1"/>
        <v>34</v>
      </c>
      <c r="F20" s="6" t="s">
        <v>75</v>
      </c>
      <c r="G20" s="6" t="s">
        <v>49</v>
      </c>
      <c r="H20" s="6" t="s">
        <v>52</v>
      </c>
      <c r="I20" s="6" t="s">
        <v>57</v>
      </c>
      <c r="J20" s="6">
        <v>3.0</v>
      </c>
      <c r="K20" s="6" t="s">
        <v>169</v>
      </c>
      <c r="L20" s="6" t="s">
        <v>125</v>
      </c>
      <c r="M20" s="8">
        <v>44046.0</v>
      </c>
      <c r="N20" s="6" t="s">
        <v>74</v>
      </c>
      <c r="O20" s="6" t="s">
        <v>63</v>
      </c>
      <c r="P20" s="6" t="s">
        <v>93</v>
      </c>
      <c r="Q20" s="6" t="s">
        <v>43</v>
      </c>
      <c r="R20" s="8">
        <v>45356.0</v>
      </c>
      <c r="S20" s="6" t="s">
        <v>140</v>
      </c>
    </row>
    <row r="21" ht="15.75" customHeight="1">
      <c r="A21" s="6" t="s">
        <v>171</v>
      </c>
      <c r="B21" s="6" t="s">
        <v>172</v>
      </c>
      <c r="C21" s="6" t="s">
        <v>173</v>
      </c>
      <c r="D21" s="8">
        <v>35209.0</v>
      </c>
      <c r="E21" s="6">
        <f t="shared" si="1"/>
        <v>33</v>
      </c>
      <c r="F21" s="6" t="s">
        <v>45</v>
      </c>
      <c r="G21" s="6" t="s">
        <v>76</v>
      </c>
      <c r="H21" s="6" t="s">
        <v>52</v>
      </c>
      <c r="I21" s="6" t="s">
        <v>79</v>
      </c>
      <c r="J21" s="6">
        <v>0.0</v>
      </c>
      <c r="K21" s="6" t="s">
        <v>174</v>
      </c>
      <c r="L21" s="6" t="s">
        <v>109</v>
      </c>
      <c r="M21" s="8">
        <v>44375.0</v>
      </c>
      <c r="N21" s="6" t="s">
        <v>38</v>
      </c>
      <c r="O21" s="6" t="s">
        <v>63</v>
      </c>
      <c r="P21" s="6" t="s">
        <v>150</v>
      </c>
      <c r="Q21" s="6" t="s">
        <v>43</v>
      </c>
      <c r="R21" s="8">
        <v>45226.0</v>
      </c>
      <c r="S21" s="6" t="s">
        <v>84</v>
      </c>
    </row>
    <row r="22" ht="15.75" customHeight="1">
      <c r="A22" s="6" t="s">
        <v>176</v>
      </c>
      <c r="B22" s="6" t="s">
        <v>177</v>
      </c>
      <c r="C22" s="6" t="s">
        <v>178</v>
      </c>
      <c r="D22" s="8">
        <v>29374.0</v>
      </c>
      <c r="E22" s="6">
        <f t="shared" si="1"/>
        <v>32</v>
      </c>
      <c r="F22" s="6" t="s">
        <v>75</v>
      </c>
      <c r="G22" s="6" t="s">
        <v>85</v>
      </c>
      <c r="H22" s="6" t="s">
        <v>196</v>
      </c>
      <c r="I22" s="6" t="s">
        <v>87</v>
      </c>
      <c r="J22" s="6">
        <v>1.0</v>
      </c>
      <c r="K22" s="6" t="s">
        <v>179</v>
      </c>
      <c r="L22" s="6" t="s">
        <v>100</v>
      </c>
      <c r="M22" s="8">
        <v>43507.0</v>
      </c>
      <c r="N22" s="6" t="s">
        <v>74</v>
      </c>
      <c r="O22" s="6" t="s">
        <v>63</v>
      </c>
      <c r="P22" s="6" t="s">
        <v>93</v>
      </c>
      <c r="Q22" s="6" t="s">
        <v>43</v>
      </c>
      <c r="R22" s="8">
        <v>44804.0</v>
      </c>
      <c r="S22" s="6" t="s">
        <v>140</v>
      </c>
    </row>
    <row r="23" ht="15.75" customHeight="1">
      <c r="A23" s="6" t="s">
        <v>181</v>
      </c>
      <c r="B23" s="6" t="s">
        <v>182</v>
      </c>
      <c r="C23" s="6" t="s">
        <v>183</v>
      </c>
      <c r="D23" s="8">
        <v>29772.0</v>
      </c>
      <c r="E23" s="6">
        <f t="shared" si="1"/>
        <v>31</v>
      </c>
      <c r="F23" s="6" t="s">
        <v>45</v>
      </c>
      <c r="G23" s="6" t="s">
        <v>102</v>
      </c>
      <c r="H23" s="6" t="s">
        <v>213</v>
      </c>
      <c r="I23" s="6" t="s">
        <v>57</v>
      </c>
      <c r="J23" s="6">
        <v>2.0</v>
      </c>
      <c r="K23" s="6" t="s">
        <v>184</v>
      </c>
      <c r="L23" s="6" t="s">
        <v>92</v>
      </c>
      <c r="M23" s="8">
        <v>42800.0</v>
      </c>
      <c r="N23" s="6" t="s">
        <v>38</v>
      </c>
      <c r="O23" s="6" t="s">
        <v>63</v>
      </c>
      <c r="P23" s="6" t="s">
        <v>65</v>
      </c>
      <c r="Q23" s="6" t="s">
        <v>43</v>
      </c>
      <c r="R23" s="8">
        <v>44498.0</v>
      </c>
      <c r="S23" s="6" t="s">
        <v>73</v>
      </c>
    </row>
    <row r="24" ht="15.75" customHeight="1">
      <c r="A24" s="6" t="s">
        <v>186</v>
      </c>
      <c r="B24" s="6" t="s">
        <v>187</v>
      </c>
      <c r="C24" s="6" t="s">
        <v>188</v>
      </c>
      <c r="D24" s="8">
        <v>30171.0</v>
      </c>
      <c r="E24" s="6">
        <f t="shared" si="1"/>
        <v>30</v>
      </c>
      <c r="F24" s="6" t="s">
        <v>75</v>
      </c>
      <c r="G24" s="6" t="s">
        <v>127</v>
      </c>
      <c r="H24" s="6" t="s">
        <v>133</v>
      </c>
      <c r="I24" s="6" t="s">
        <v>79</v>
      </c>
      <c r="J24" s="6">
        <v>3.0</v>
      </c>
      <c r="K24" s="6" t="s">
        <v>190</v>
      </c>
      <c r="L24" s="6" t="s">
        <v>132</v>
      </c>
      <c r="M24" s="8">
        <v>45432.0</v>
      </c>
      <c r="N24" s="6" t="s">
        <v>101</v>
      </c>
      <c r="O24" s="6" t="s">
        <v>63</v>
      </c>
      <c r="P24" s="6" t="s">
        <v>93</v>
      </c>
      <c r="Q24" s="6" t="s">
        <v>43</v>
      </c>
      <c r="R24" s="8">
        <v>45857.0</v>
      </c>
      <c r="S24" s="6" t="s">
        <v>140</v>
      </c>
    </row>
    <row r="25" ht="15.75" customHeight="1">
      <c r="A25" s="6" t="s">
        <v>191</v>
      </c>
      <c r="B25" s="6" t="s">
        <v>192</v>
      </c>
      <c r="C25" s="6" t="s">
        <v>193</v>
      </c>
      <c r="D25" s="8">
        <v>30570.0</v>
      </c>
      <c r="E25" s="6">
        <f t="shared" si="1"/>
        <v>46</v>
      </c>
      <c r="F25" s="6" t="s">
        <v>45</v>
      </c>
      <c r="G25" s="6" t="s">
        <v>49</v>
      </c>
      <c r="H25" s="6" t="s">
        <v>52</v>
      </c>
      <c r="I25" s="6" t="s">
        <v>87</v>
      </c>
      <c r="J25" s="6">
        <v>0.0</v>
      </c>
      <c r="K25" s="6" t="s">
        <v>194</v>
      </c>
      <c r="L25" s="6" t="s">
        <v>145</v>
      </c>
      <c r="M25" s="8">
        <v>42611.0</v>
      </c>
      <c r="N25" s="6" t="s">
        <v>38</v>
      </c>
      <c r="O25" s="6" t="s">
        <v>63</v>
      </c>
      <c r="P25" s="6" t="s">
        <v>65</v>
      </c>
      <c r="Q25" s="6" t="s">
        <v>197</v>
      </c>
      <c r="R25" s="6"/>
      <c r="S25" s="6"/>
    </row>
    <row r="26" ht="15.75" customHeight="1">
      <c r="A26" s="6" t="s">
        <v>198</v>
      </c>
      <c r="B26" s="6" t="s">
        <v>199</v>
      </c>
      <c r="C26" s="6" t="s">
        <v>200</v>
      </c>
      <c r="D26" s="8">
        <v>30969.0</v>
      </c>
      <c r="E26" s="6">
        <f t="shared" si="1"/>
        <v>45</v>
      </c>
      <c r="F26" s="6" t="s">
        <v>75</v>
      </c>
      <c r="G26" s="6" t="s">
        <v>76</v>
      </c>
      <c r="H26" s="6" t="s">
        <v>196</v>
      </c>
      <c r="I26" s="6" t="s">
        <v>57</v>
      </c>
      <c r="J26" s="6">
        <v>1.0</v>
      </c>
      <c r="K26" s="6" t="s">
        <v>201</v>
      </c>
      <c r="L26" s="6" t="s">
        <v>36</v>
      </c>
      <c r="M26" s="8">
        <v>44585.0</v>
      </c>
      <c r="N26" s="6" t="s">
        <v>74</v>
      </c>
      <c r="O26" s="6" t="s">
        <v>63</v>
      </c>
      <c r="P26" s="6" t="s">
        <v>65</v>
      </c>
      <c r="Q26" s="6" t="s">
        <v>197</v>
      </c>
      <c r="R26" s="6"/>
      <c r="S26" s="6"/>
    </row>
    <row r="27" ht="15.75" customHeight="1">
      <c r="A27" s="6" t="s">
        <v>204</v>
      </c>
      <c r="B27" s="6" t="s">
        <v>205</v>
      </c>
      <c r="C27" s="6" t="s">
        <v>206</v>
      </c>
      <c r="D27" s="8">
        <v>31368.0</v>
      </c>
      <c r="E27" s="6">
        <f t="shared" si="1"/>
        <v>44</v>
      </c>
      <c r="F27" s="6" t="s">
        <v>45</v>
      </c>
      <c r="G27" s="6" t="s">
        <v>85</v>
      </c>
      <c r="H27" s="6" t="s">
        <v>52</v>
      </c>
      <c r="I27" s="6" t="s">
        <v>79</v>
      </c>
      <c r="J27" s="6">
        <v>2.0</v>
      </c>
      <c r="K27" s="6" t="s">
        <v>207</v>
      </c>
      <c r="L27" s="6" t="s">
        <v>82</v>
      </c>
      <c r="M27" s="8">
        <v>44172.0</v>
      </c>
      <c r="N27" s="6" t="s">
        <v>38</v>
      </c>
      <c r="O27" s="6" t="s">
        <v>63</v>
      </c>
      <c r="P27" s="6" t="s">
        <v>93</v>
      </c>
      <c r="Q27" s="6" t="s">
        <v>197</v>
      </c>
      <c r="R27" s="6"/>
      <c r="S27" s="6"/>
    </row>
    <row r="28" ht="15.75" customHeight="1">
      <c r="A28" s="6" t="s">
        <v>208</v>
      </c>
      <c r="B28" s="6" t="s">
        <v>209</v>
      </c>
      <c r="C28" s="6" t="s">
        <v>211</v>
      </c>
      <c r="D28" s="8">
        <v>31766.0</v>
      </c>
      <c r="E28" s="6">
        <f t="shared" si="1"/>
        <v>42</v>
      </c>
      <c r="F28" s="6" t="s">
        <v>75</v>
      </c>
      <c r="G28" s="6" t="s">
        <v>102</v>
      </c>
      <c r="H28" s="6" t="s">
        <v>213</v>
      </c>
      <c r="I28" s="6" t="s">
        <v>87</v>
      </c>
      <c r="J28" s="6">
        <v>3.0</v>
      </c>
      <c r="K28" s="6" t="s">
        <v>212</v>
      </c>
      <c r="L28" s="6" t="s">
        <v>72</v>
      </c>
      <c r="M28" s="8">
        <v>42898.0</v>
      </c>
      <c r="N28" s="6" t="s">
        <v>38</v>
      </c>
      <c r="O28" s="6" t="s">
        <v>63</v>
      </c>
      <c r="P28" s="6" t="s">
        <v>65</v>
      </c>
      <c r="Q28" s="6" t="s">
        <v>197</v>
      </c>
      <c r="R28" s="6"/>
      <c r="S28" s="6"/>
    </row>
    <row r="29" ht="15.75" customHeight="1">
      <c r="A29" s="6" t="s">
        <v>214</v>
      </c>
      <c r="B29" s="6" t="s">
        <v>215</v>
      </c>
      <c r="C29" s="6" t="s">
        <v>216</v>
      </c>
      <c r="D29" s="8">
        <v>31800.0</v>
      </c>
      <c r="E29" s="6">
        <f t="shared" si="1"/>
        <v>41</v>
      </c>
      <c r="F29" s="6" t="s">
        <v>45</v>
      </c>
      <c r="G29" s="6" t="s">
        <v>127</v>
      </c>
      <c r="H29" s="6" t="s">
        <v>52</v>
      </c>
      <c r="I29" s="6" t="s">
        <v>57</v>
      </c>
      <c r="J29" s="6">
        <v>0.0</v>
      </c>
      <c r="K29" s="6" t="s">
        <v>217</v>
      </c>
      <c r="L29" s="6" t="s">
        <v>55</v>
      </c>
      <c r="M29" s="8">
        <v>44956.0</v>
      </c>
      <c r="N29" s="6" t="s">
        <v>74</v>
      </c>
      <c r="O29" s="6" t="s">
        <v>63</v>
      </c>
      <c r="P29" s="6" t="s">
        <v>65</v>
      </c>
      <c r="Q29" s="6" t="s">
        <v>197</v>
      </c>
      <c r="R29" s="6"/>
      <c r="S29" s="6"/>
    </row>
    <row r="30" ht="15.75" customHeight="1">
      <c r="A30" s="6" t="s">
        <v>219</v>
      </c>
      <c r="B30" s="6" t="s">
        <v>220</v>
      </c>
      <c r="C30" s="6" t="s">
        <v>221</v>
      </c>
      <c r="D30" s="8">
        <v>32174.0</v>
      </c>
      <c r="E30" s="6">
        <f t="shared" si="1"/>
        <v>40</v>
      </c>
      <c r="F30" s="6" t="s">
        <v>75</v>
      </c>
      <c r="G30" s="6" t="s">
        <v>49</v>
      </c>
      <c r="H30" s="6" t="s">
        <v>52</v>
      </c>
      <c r="I30" s="6" t="s">
        <v>79</v>
      </c>
      <c r="J30" s="6">
        <v>1.0</v>
      </c>
      <c r="K30" s="6" t="s">
        <v>222</v>
      </c>
      <c r="L30" s="6" t="s">
        <v>109</v>
      </c>
      <c r="M30" s="8">
        <v>45306.0</v>
      </c>
      <c r="N30" s="6" t="s">
        <v>101</v>
      </c>
      <c r="O30" s="6" t="s">
        <v>63</v>
      </c>
      <c r="P30" s="6" t="s">
        <v>150</v>
      </c>
      <c r="Q30" s="6" t="s">
        <v>197</v>
      </c>
      <c r="R30" s="6"/>
      <c r="S30" s="6"/>
    </row>
    <row r="31" ht="15.75" customHeight="1">
      <c r="A31" s="6" t="s">
        <v>224</v>
      </c>
      <c r="B31" s="6" t="s">
        <v>225</v>
      </c>
      <c r="C31" s="6" t="s">
        <v>226</v>
      </c>
      <c r="D31" s="8">
        <v>32571.0</v>
      </c>
      <c r="E31" s="6">
        <f t="shared" si="1"/>
        <v>39</v>
      </c>
      <c r="F31" s="6" t="s">
        <v>45</v>
      </c>
      <c r="G31" s="6" t="s">
        <v>76</v>
      </c>
      <c r="H31" s="6" t="s">
        <v>52</v>
      </c>
      <c r="I31" s="6" t="s">
        <v>87</v>
      </c>
      <c r="J31" s="6">
        <v>2.0</v>
      </c>
      <c r="K31" s="6" t="s">
        <v>227</v>
      </c>
      <c r="L31" s="6" t="s">
        <v>125</v>
      </c>
      <c r="M31" s="8">
        <v>43696.0</v>
      </c>
      <c r="N31" s="6" t="s">
        <v>38</v>
      </c>
      <c r="O31" s="6" t="s">
        <v>63</v>
      </c>
      <c r="P31" s="6" t="s">
        <v>93</v>
      </c>
      <c r="Q31" s="6" t="s">
        <v>197</v>
      </c>
      <c r="R31" s="6"/>
      <c r="S31" s="6"/>
    </row>
    <row r="32" ht="15.75" customHeight="1">
      <c r="A32" s="6" t="s">
        <v>228</v>
      </c>
      <c r="B32" s="6" t="s">
        <v>229</v>
      </c>
      <c r="C32" s="6" t="s">
        <v>230</v>
      </c>
      <c r="D32" s="8">
        <v>32970.0</v>
      </c>
      <c r="E32" s="6">
        <f t="shared" si="1"/>
        <v>39</v>
      </c>
      <c r="F32" s="6" t="s">
        <v>75</v>
      </c>
      <c r="G32" s="6" t="s">
        <v>85</v>
      </c>
      <c r="H32" s="6" t="s">
        <v>52</v>
      </c>
      <c r="I32" s="6" t="s">
        <v>57</v>
      </c>
      <c r="J32" s="6">
        <v>3.0</v>
      </c>
      <c r="K32" s="6" t="s">
        <v>231</v>
      </c>
      <c r="L32" s="6" t="s">
        <v>138</v>
      </c>
      <c r="M32" s="8">
        <v>43437.0</v>
      </c>
      <c r="N32" s="6" t="s">
        <v>74</v>
      </c>
      <c r="O32" s="6" t="s">
        <v>63</v>
      </c>
      <c r="P32" s="6" t="s">
        <v>65</v>
      </c>
      <c r="Q32" s="6" t="s">
        <v>197</v>
      </c>
      <c r="R32" s="6"/>
      <c r="S32" s="6"/>
    </row>
    <row r="33" ht="15.75" customHeight="1">
      <c r="A33" s="6" t="s">
        <v>233</v>
      </c>
      <c r="B33" s="6" t="s">
        <v>234</v>
      </c>
      <c r="C33" s="6" t="s">
        <v>235</v>
      </c>
      <c r="D33" s="8">
        <v>33368.0</v>
      </c>
      <c r="E33" s="6">
        <f t="shared" si="1"/>
        <v>38</v>
      </c>
      <c r="F33" s="6" t="s">
        <v>45</v>
      </c>
      <c r="G33" s="6" t="s">
        <v>102</v>
      </c>
      <c r="H33" s="6" t="s">
        <v>196</v>
      </c>
      <c r="I33" s="6" t="s">
        <v>79</v>
      </c>
      <c r="J33" s="6">
        <v>0.0</v>
      </c>
      <c r="K33" s="6" t="s">
        <v>236</v>
      </c>
      <c r="L33" s="6" t="s">
        <v>100</v>
      </c>
      <c r="M33" s="8">
        <v>44753.0</v>
      </c>
      <c r="N33" s="6" t="s">
        <v>74</v>
      </c>
      <c r="O33" s="6" t="s">
        <v>63</v>
      </c>
      <c r="P33" s="6" t="s">
        <v>93</v>
      </c>
      <c r="Q33" s="6" t="s">
        <v>197</v>
      </c>
      <c r="R33" s="6"/>
      <c r="S33" s="6"/>
    </row>
    <row r="34" ht="15.75" customHeight="1">
      <c r="A34" s="6" t="s">
        <v>238</v>
      </c>
      <c r="B34" s="6" t="s">
        <v>239</v>
      </c>
      <c r="C34" s="6" t="s">
        <v>240</v>
      </c>
      <c r="D34" s="11">
        <v>33768.0</v>
      </c>
      <c r="E34" s="6">
        <f t="shared" si="1"/>
        <v>37</v>
      </c>
      <c r="F34" s="6" t="s">
        <v>75</v>
      </c>
      <c r="G34" s="6" t="s">
        <v>127</v>
      </c>
      <c r="H34" s="6" t="s">
        <v>52</v>
      </c>
      <c r="I34" s="6" t="s">
        <v>87</v>
      </c>
      <c r="J34" s="6">
        <v>1.0</v>
      </c>
      <c r="K34" s="6" t="s">
        <v>241</v>
      </c>
      <c r="L34" s="6" t="s">
        <v>145</v>
      </c>
      <c r="M34" s="11">
        <v>44473.0</v>
      </c>
      <c r="N34" s="6" t="s">
        <v>38</v>
      </c>
      <c r="O34" s="6" t="s">
        <v>63</v>
      </c>
      <c r="P34" s="6" t="s">
        <v>65</v>
      </c>
      <c r="Q34" s="6" t="s">
        <v>197</v>
      </c>
      <c r="R34" s="6"/>
      <c r="S34" s="6"/>
    </row>
    <row r="35" ht="15.75" customHeight="1">
      <c r="A35" s="6"/>
      <c r="B35" s="6"/>
      <c r="C35" s="6"/>
      <c r="D35" s="6"/>
      <c r="E35" s="6">
        <f t="shared" si="1"/>
        <v>36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ht="15.75" customHeight="1">
      <c r="A36" s="6"/>
      <c r="B36" s="6"/>
      <c r="C36" s="6"/>
      <c r="D36" s="6"/>
      <c r="E36" s="6">
        <f t="shared" si="1"/>
        <v>35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ht="15.75" customHeight="1">
      <c r="A37" s="6"/>
      <c r="B37" s="6"/>
      <c r="C37" s="6"/>
      <c r="D37" s="6"/>
      <c r="E37" s="6">
        <f t="shared" si="1"/>
        <v>34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4" width="22.0"/>
    <col customWidth="1" min="5" max="5" width="12.0"/>
    <col customWidth="1" min="6" max="6" width="15.0"/>
    <col customWidth="1" min="7" max="7" width="17.0"/>
    <col customWidth="1" min="8" max="9" width="20.0"/>
    <col customWidth="1" min="10" max="10" width="23.0"/>
    <col customWidth="1" min="11" max="11" width="13.0"/>
    <col customWidth="1" min="12" max="12" width="17.0"/>
    <col customWidth="1" min="13" max="13" width="19.0"/>
    <col customWidth="1" min="14" max="14" width="22.0"/>
    <col customWidth="1" min="15" max="15" width="19.0"/>
    <col customWidth="1" min="16" max="16" width="23.0"/>
    <col customWidth="1" min="17" max="18" width="28.0"/>
    <col customWidth="1" min="19" max="26" width="8.57"/>
  </cols>
  <sheetData>
    <row r="1" ht="30.0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"/>
    </row>
    <row r="2">
      <c r="A2" s="4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6" t="s">
        <v>6</v>
      </c>
      <c r="B4" s="6" t="s">
        <v>39</v>
      </c>
      <c r="C4" s="6" t="s">
        <v>40</v>
      </c>
      <c r="D4" s="6" t="s">
        <v>42</v>
      </c>
      <c r="E4" s="6" t="s">
        <v>44</v>
      </c>
      <c r="F4" s="6" t="s">
        <v>47</v>
      </c>
      <c r="G4" s="6" t="s">
        <v>50</v>
      </c>
      <c r="H4" s="6" t="s">
        <v>53</v>
      </c>
      <c r="I4" s="6" t="s">
        <v>56</v>
      </c>
      <c r="J4" s="6" t="s">
        <v>58</v>
      </c>
      <c r="K4" s="6" t="s">
        <v>59</v>
      </c>
      <c r="L4" s="6" t="s">
        <v>60</v>
      </c>
      <c r="M4" s="6" t="s">
        <v>61</v>
      </c>
      <c r="N4" s="6" t="s">
        <v>62</v>
      </c>
      <c r="O4" s="6" t="s">
        <v>30</v>
      </c>
      <c r="P4" s="6" t="s">
        <v>64</v>
      </c>
      <c r="Q4" s="6" t="s">
        <v>66</v>
      </c>
      <c r="R4" s="6" t="s">
        <v>69</v>
      </c>
      <c r="S4" s="6"/>
    </row>
    <row r="5">
      <c r="A5" s="6" t="s">
        <v>31</v>
      </c>
      <c r="B5" s="8">
        <v>44548.0</v>
      </c>
      <c r="C5" s="6">
        <v>88.0</v>
      </c>
      <c r="D5" s="6">
        <v>5.0</v>
      </c>
      <c r="E5" s="6">
        <v>5.0</v>
      </c>
      <c r="F5" s="6">
        <v>4.0</v>
      </c>
      <c r="G5" s="6">
        <v>4.0</v>
      </c>
      <c r="H5" s="6">
        <v>2.0</v>
      </c>
      <c r="I5" s="6">
        <v>1.0</v>
      </c>
      <c r="J5" s="6">
        <v>2.0</v>
      </c>
      <c r="K5" s="6">
        <v>0.0</v>
      </c>
      <c r="L5" s="6">
        <v>9.0</v>
      </c>
      <c r="M5" s="6">
        <v>2.0</v>
      </c>
      <c r="N5" s="6">
        <v>1.0</v>
      </c>
      <c r="O5" s="6" t="s">
        <v>65</v>
      </c>
      <c r="P5" s="6">
        <v>5.0</v>
      </c>
      <c r="Q5" s="6"/>
      <c r="R5" s="6"/>
      <c r="S5" s="6" t="s">
        <v>83</v>
      </c>
    </row>
    <row r="6">
      <c r="A6" s="6" t="s">
        <v>46</v>
      </c>
      <c r="B6" s="8">
        <v>45063.0</v>
      </c>
      <c r="C6" s="6">
        <v>83.0</v>
      </c>
      <c r="D6" s="6">
        <v>4.0</v>
      </c>
      <c r="E6" s="6">
        <v>4.0</v>
      </c>
      <c r="F6" s="6">
        <v>4.0</v>
      </c>
      <c r="G6" s="6">
        <v>3.0</v>
      </c>
      <c r="H6" s="6">
        <v>1.0</v>
      </c>
      <c r="I6" s="6">
        <v>1.0</v>
      </c>
      <c r="J6" s="6">
        <v>1.0</v>
      </c>
      <c r="K6" s="6">
        <v>0.0</v>
      </c>
      <c r="L6" s="6">
        <v>8.0</v>
      </c>
      <c r="M6" s="6">
        <v>1.0</v>
      </c>
      <c r="N6" s="6">
        <v>1.0</v>
      </c>
      <c r="O6" s="6" t="s">
        <v>65</v>
      </c>
      <c r="P6" s="6">
        <v>5.0</v>
      </c>
      <c r="Q6" s="6"/>
      <c r="R6" s="6"/>
      <c r="S6" s="6" t="s">
        <v>86</v>
      </c>
    </row>
    <row r="7">
      <c r="A7" s="6" t="s">
        <v>67</v>
      </c>
      <c r="B7" s="8">
        <v>45219.0</v>
      </c>
      <c r="C7" s="6">
        <v>81.0</v>
      </c>
      <c r="D7" s="6">
        <v>4.0</v>
      </c>
      <c r="E7" s="6">
        <v>4.0</v>
      </c>
      <c r="F7" s="6">
        <v>4.0</v>
      </c>
      <c r="G7" s="6">
        <v>5.0</v>
      </c>
      <c r="H7" s="6">
        <v>2.0</v>
      </c>
      <c r="I7" s="6">
        <v>1.0</v>
      </c>
      <c r="J7" s="6">
        <v>1.0</v>
      </c>
      <c r="K7" s="6">
        <v>0.0</v>
      </c>
      <c r="L7" s="6">
        <v>10.0</v>
      </c>
      <c r="M7" s="6">
        <v>2.0</v>
      </c>
      <c r="N7" s="6">
        <v>1.0</v>
      </c>
      <c r="O7" s="6" t="s">
        <v>93</v>
      </c>
      <c r="P7" s="6">
        <v>5.0</v>
      </c>
      <c r="Q7" s="6"/>
      <c r="R7" s="6"/>
      <c r="S7" s="6" t="s">
        <v>95</v>
      </c>
    </row>
    <row r="8">
      <c r="A8" s="6" t="s">
        <v>77</v>
      </c>
      <c r="B8" s="8">
        <v>44657.0</v>
      </c>
      <c r="C8" s="6">
        <v>91.0</v>
      </c>
      <c r="D8" s="6">
        <v>5.0</v>
      </c>
      <c r="E8" s="6">
        <v>5.0</v>
      </c>
      <c r="F8" s="6">
        <v>4.0</v>
      </c>
      <c r="G8" s="6">
        <v>2.0</v>
      </c>
      <c r="H8" s="6">
        <v>1.0</v>
      </c>
      <c r="I8" s="6">
        <v>2.0</v>
      </c>
      <c r="J8" s="6">
        <v>3.0</v>
      </c>
      <c r="K8" s="6">
        <v>0.0</v>
      </c>
      <c r="L8" s="6">
        <v>8.0</v>
      </c>
      <c r="M8" s="6">
        <v>2.0</v>
      </c>
      <c r="N8" s="6">
        <v>1.0</v>
      </c>
      <c r="O8" s="6" t="s">
        <v>93</v>
      </c>
      <c r="P8" s="6">
        <v>5.0</v>
      </c>
      <c r="Q8" s="6" t="str">
        <f t="shared" ref="Q8:Q37" si="1">IF((D5/5*0.3+E5/5*0.25+C5/100*0.2+F5/5*0.15+(1-MIN(G5/15,1))*0.1)&lt;0.4,"ALTO",IF((D5/5*0.3+E5/5*0.25+C5/100*0.2+F5/5*0.15+(1-MIN(G5/15,1))*0.1)&lt;0.67,"MEDIO","BAJO"))</f>
        <v>BAJO</v>
      </c>
      <c r="R8" s="6" t="str">
        <f t="shared" ref="R8:R37" si="2">IF(Q5="ALTO","Riesgo elevado por combinación de percepción, desempeño y ausentismo.",IF(Q5="MEDIO","Requiere seguimiento preventivo.","Perfil con señales favorables de permanencia."))</f>
        <v>Perfil con señales favorables de permanencia.</v>
      </c>
      <c r="S8" s="6" t="s">
        <v>139</v>
      </c>
    </row>
    <row r="9">
      <c r="A9" s="6" t="s">
        <v>88</v>
      </c>
      <c r="B9" s="8">
        <v>45502.0</v>
      </c>
      <c r="C9" s="6">
        <v>87.0</v>
      </c>
      <c r="D9" s="6">
        <v>4.0</v>
      </c>
      <c r="E9" s="6">
        <v>5.0</v>
      </c>
      <c r="F9" s="6">
        <v>4.0</v>
      </c>
      <c r="G9" s="6">
        <v>3.0</v>
      </c>
      <c r="H9" s="6">
        <v>1.0</v>
      </c>
      <c r="I9" s="6">
        <v>1.0</v>
      </c>
      <c r="J9" s="6">
        <v>2.0</v>
      </c>
      <c r="K9" s="6">
        <v>0.0</v>
      </c>
      <c r="L9" s="6">
        <v>8.0</v>
      </c>
      <c r="M9" s="6">
        <v>2.0</v>
      </c>
      <c r="N9" s="6">
        <v>1.0</v>
      </c>
      <c r="O9" s="6" t="s">
        <v>65</v>
      </c>
      <c r="P9" s="6">
        <v>5.0</v>
      </c>
      <c r="Q9" s="6" t="str">
        <f t="shared" si="1"/>
        <v>BAJO</v>
      </c>
      <c r="R9" s="6" t="str">
        <f t="shared" si="2"/>
        <v>Perfil con señales favorables de permanencia.</v>
      </c>
      <c r="S9" s="6" t="s">
        <v>151</v>
      </c>
    </row>
    <row r="10">
      <c r="A10" s="6" t="s">
        <v>96</v>
      </c>
      <c r="B10" s="8">
        <v>45749.0</v>
      </c>
      <c r="C10" s="6">
        <v>72.0</v>
      </c>
      <c r="D10" s="6">
        <v>3.0</v>
      </c>
      <c r="E10" s="6">
        <v>3.0</v>
      </c>
      <c r="F10" s="6">
        <v>3.0</v>
      </c>
      <c r="G10" s="6">
        <v>8.0</v>
      </c>
      <c r="H10" s="6">
        <v>3.0</v>
      </c>
      <c r="I10" s="6">
        <v>0.0</v>
      </c>
      <c r="J10" s="6">
        <v>0.0</v>
      </c>
      <c r="K10" s="6">
        <v>1.0</v>
      </c>
      <c r="L10" s="6">
        <v>9.0</v>
      </c>
      <c r="M10" s="6">
        <v>1.0</v>
      </c>
      <c r="N10" s="6">
        <v>2.0</v>
      </c>
      <c r="O10" s="6" t="s">
        <v>93</v>
      </c>
      <c r="P10" s="6">
        <v>4.0</v>
      </c>
      <c r="Q10" s="6" t="str">
        <f t="shared" si="1"/>
        <v>BAJO</v>
      </c>
      <c r="R10" s="6" t="str">
        <f t="shared" si="2"/>
        <v>Perfil con señales favorables de permanencia.</v>
      </c>
      <c r="S10" s="6" t="s">
        <v>160</v>
      </c>
    </row>
    <row r="11">
      <c r="A11" s="6" t="s">
        <v>103</v>
      </c>
      <c r="B11" s="8">
        <v>45203.0</v>
      </c>
      <c r="C11" s="6">
        <v>93.0</v>
      </c>
      <c r="D11" s="6">
        <v>5.0</v>
      </c>
      <c r="E11" s="6">
        <v>4.0</v>
      </c>
      <c r="F11" s="6">
        <v>5.0</v>
      </c>
      <c r="G11" s="6">
        <v>2.0</v>
      </c>
      <c r="H11" s="6">
        <v>0.0</v>
      </c>
      <c r="I11" s="6">
        <v>2.0</v>
      </c>
      <c r="J11" s="6">
        <v>4.0</v>
      </c>
      <c r="K11" s="6">
        <v>0.0</v>
      </c>
      <c r="L11" s="6">
        <v>8.0</v>
      </c>
      <c r="M11" s="6">
        <v>2.0</v>
      </c>
      <c r="N11" s="6">
        <v>1.0</v>
      </c>
      <c r="O11" s="6" t="s">
        <v>150</v>
      </c>
      <c r="P11" s="6">
        <v>5.0</v>
      </c>
      <c r="Q11" s="6" t="str">
        <f t="shared" si="1"/>
        <v>BAJO</v>
      </c>
      <c r="R11" s="6" t="str">
        <f t="shared" si="2"/>
        <v>Perfil con señales favorables de permanencia.</v>
      </c>
      <c r="S11" s="6" t="s">
        <v>165</v>
      </c>
    </row>
    <row r="12">
      <c r="A12" s="6" t="s">
        <v>119</v>
      </c>
      <c r="B12" s="8">
        <v>45881.0</v>
      </c>
      <c r="C12" s="6">
        <v>68.0</v>
      </c>
      <c r="D12" s="6">
        <v>3.0</v>
      </c>
      <c r="E12" s="6">
        <v>3.0</v>
      </c>
      <c r="F12" s="6">
        <v>3.0</v>
      </c>
      <c r="G12" s="6">
        <v>10.0</v>
      </c>
      <c r="H12" s="6">
        <v>4.0</v>
      </c>
      <c r="I12" s="6">
        <v>0.0</v>
      </c>
      <c r="J12" s="6">
        <v>0.0</v>
      </c>
      <c r="K12" s="6">
        <v>2.0</v>
      </c>
      <c r="L12" s="6">
        <v>9.0</v>
      </c>
      <c r="M12" s="6">
        <v>1.0</v>
      </c>
      <c r="N12" s="6">
        <v>3.0</v>
      </c>
      <c r="O12" s="6" t="s">
        <v>93</v>
      </c>
      <c r="P12" s="6">
        <v>4.0</v>
      </c>
      <c r="Q12" s="6" t="str">
        <f t="shared" si="1"/>
        <v>BAJO</v>
      </c>
      <c r="R12" s="6" t="str">
        <f t="shared" si="2"/>
        <v>Perfil con señales favorables de permanencia.</v>
      </c>
      <c r="S12" s="6" t="s">
        <v>175</v>
      </c>
    </row>
    <row r="13">
      <c r="A13" s="6" t="s">
        <v>128</v>
      </c>
      <c r="B13" s="8">
        <v>44198.0</v>
      </c>
      <c r="C13" s="6">
        <v>95.0</v>
      </c>
      <c r="D13" s="6">
        <v>5.0</v>
      </c>
      <c r="E13" s="6">
        <v>5.0</v>
      </c>
      <c r="F13" s="6">
        <v>5.0</v>
      </c>
      <c r="G13" s="6">
        <v>1.0</v>
      </c>
      <c r="H13" s="6">
        <v>0.0</v>
      </c>
      <c r="I13" s="6">
        <v>3.0</v>
      </c>
      <c r="J13" s="6">
        <v>5.0</v>
      </c>
      <c r="K13" s="6">
        <v>0.0</v>
      </c>
      <c r="L13" s="6">
        <v>8.0</v>
      </c>
      <c r="M13" s="6">
        <v>3.0</v>
      </c>
      <c r="N13" s="6">
        <v>1.0</v>
      </c>
      <c r="O13" s="6" t="s">
        <v>65</v>
      </c>
      <c r="P13" s="6">
        <v>5.0</v>
      </c>
      <c r="Q13" s="6" t="str">
        <f t="shared" si="1"/>
        <v>MEDIO</v>
      </c>
      <c r="R13" s="6" t="str">
        <f t="shared" si="2"/>
        <v>Perfil con señales favorables de permanencia.</v>
      </c>
      <c r="S13" s="6" t="s">
        <v>180</v>
      </c>
    </row>
    <row r="14">
      <c r="A14" s="6" t="s">
        <v>134</v>
      </c>
      <c r="B14" s="8">
        <v>45498.0</v>
      </c>
      <c r="C14" s="6">
        <v>79.0</v>
      </c>
      <c r="D14" s="6">
        <v>4.0</v>
      </c>
      <c r="E14" s="6">
        <v>4.0</v>
      </c>
      <c r="F14" s="6">
        <v>3.0</v>
      </c>
      <c r="G14" s="6">
        <v>4.0</v>
      </c>
      <c r="H14" s="6">
        <v>2.0</v>
      </c>
      <c r="I14" s="6">
        <v>1.0</v>
      </c>
      <c r="J14" s="6">
        <v>1.0</v>
      </c>
      <c r="K14" s="6">
        <v>0.0</v>
      </c>
      <c r="L14" s="6">
        <v>8.0</v>
      </c>
      <c r="M14" s="6">
        <v>2.0</v>
      </c>
      <c r="N14" s="6">
        <v>1.0</v>
      </c>
      <c r="O14" s="6" t="s">
        <v>65</v>
      </c>
      <c r="P14" s="6">
        <v>5.0</v>
      </c>
      <c r="Q14" s="6" t="str">
        <f t="shared" si="1"/>
        <v>BAJO</v>
      </c>
      <c r="R14" s="6" t="str">
        <f t="shared" si="2"/>
        <v>Perfil con señales favorables de permanencia.</v>
      </c>
      <c r="S14" s="6" t="s">
        <v>189</v>
      </c>
    </row>
    <row r="15">
      <c r="A15" s="6" t="s">
        <v>141</v>
      </c>
      <c r="B15" s="8">
        <v>45741.0</v>
      </c>
      <c r="C15" s="6">
        <v>70.0</v>
      </c>
      <c r="D15" s="6">
        <v>3.0</v>
      </c>
      <c r="E15" s="6">
        <v>3.0</v>
      </c>
      <c r="F15" s="6">
        <v>3.0</v>
      </c>
      <c r="G15" s="6">
        <v>9.0</v>
      </c>
      <c r="H15" s="6">
        <v>3.0</v>
      </c>
      <c r="I15" s="6">
        <v>0.0</v>
      </c>
      <c r="J15" s="6">
        <v>0.0</v>
      </c>
      <c r="K15" s="6">
        <v>1.0</v>
      </c>
      <c r="L15" s="6">
        <v>9.0</v>
      </c>
      <c r="M15" s="6">
        <v>1.0</v>
      </c>
      <c r="N15" s="6">
        <v>2.0</v>
      </c>
      <c r="O15" s="6" t="s">
        <v>93</v>
      </c>
      <c r="P15" s="6">
        <v>4.0</v>
      </c>
      <c r="Q15" s="6" t="str">
        <f t="shared" si="1"/>
        <v>MEDIO</v>
      </c>
      <c r="R15" s="6" t="str">
        <f t="shared" si="2"/>
        <v>Perfil con señales favorables de permanencia.</v>
      </c>
      <c r="S15" s="6" t="s">
        <v>195</v>
      </c>
    </row>
    <row r="16">
      <c r="A16" s="6" t="s">
        <v>146</v>
      </c>
      <c r="B16" s="8">
        <v>44942.0</v>
      </c>
      <c r="C16" s="6">
        <v>94.0</v>
      </c>
      <c r="D16" s="6">
        <v>5.0</v>
      </c>
      <c r="E16" s="6">
        <v>5.0</v>
      </c>
      <c r="F16" s="6">
        <v>5.0</v>
      </c>
      <c r="G16" s="6">
        <v>2.0</v>
      </c>
      <c r="H16" s="6">
        <v>1.0</v>
      </c>
      <c r="I16" s="6">
        <v>2.0</v>
      </c>
      <c r="J16" s="6">
        <v>4.0</v>
      </c>
      <c r="K16" s="6">
        <v>0.0</v>
      </c>
      <c r="L16" s="6">
        <v>8.0</v>
      </c>
      <c r="M16" s="6">
        <v>3.0</v>
      </c>
      <c r="N16" s="6">
        <v>1.0</v>
      </c>
      <c r="O16" s="6" t="s">
        <v>150</v>
      </c>
      <c r="P16" s="6">
        <v>5.0</v>
      </c>
      <c r="Q16" s="6" t="str">
        <f t="shared" si="1"/>
        <v>BAJO</v>
      </c>
      <c r="R16" s="6" t="str">
        <f t="shared" si="2"/>
        <v>Requiere seguimiento preventivo.</v>
      </c>
      <c r="S16" s="6" t="s">
        <v>203</v>
      </c>
    </row>
    <row r="17">
      <c r="A17" s="6" t="s">
        <v>152</v>
      </c>
      <c r="B17" s="8">
        <v>44917.0</v>
      </c>
      <c r="C17" s="6">
        <v>86.0</v>
      </c>
      <c r="D17" s="6">
        <v>4.0</v>
      </c>
      <c r="E17" s="6">
        <v>4.0</v>
      </c>
      <c r="F17" s="6">
        <v>4.0</v>
      </c>
      <c r="G17" s="6">
        <v>3.0</v>
      </c>
      <c r="H17" s="6">
        <v>1.0</v>
      </c>
      <c r="I17" s="6">
        <v>2.0</v>
      </c>
      <c r="J17" s="6">
        <v>2.0</v>
      </c>
      <c r="K17" s="6">
        <v>0.0</v>
      </c>
      <c r="L17" s="6">
        <v>8.0</v>
      </c>
      <c r="M17" s="6">
        <v>2.0</v>
      </c>
      <c r="N17" s="6">
        <v>1.0</v>
      </c>
      <c r="O17" s="6" t="s">
        <v>93</v>
      </c>
      <c r="P17" s="6">
        <v>5.0</v>
      </c>
      <c r="Q17" s="6" t="str">
        <f t="shared" si="1"/>
        <v>BAJO</v>
      </c>
      <c r="R17" s="6" t="str">
        <f t="shared" si="2"/>
        <v>Perfil con señales favorables de permanencia.</v>
      </c>
      <c r="S17" s="6" t="s">
        <v>210</v>
      </c>
    </row>
    <row r="18">
      <c r="A18" s="6" t="s">
        <v>156</v>
      </c>
      <c r="B18" s="8">
        <v>45711.0</v>
      </c>
      <c r="C18" s="6">
        <v>65.0</v>
      </c>
      <c r="D18" s="6">
        <v>3.0</v>
      </c>
      <c r="E18" s="6">
        <v>2.0</v>
      </c>
      <c r="F18" s="6">
        <v>3.0</v>
      </c>
      <c r="G18" s="6">
        <v>12.0</v>
      </c>
      <c r="H18" s="6">
        <v>4.0</v>
      </c>
      <c r="I18" s="6">
        <v>0.0</v>
      </c>
      <c r="J18" s="6">
        <v>0.0</v>
      </c>
      <c r="K18" s="6">
        <v>2.0</v>
      </c>
      <c r="L18" s="6">
        <v>10.0</v>
      </c>
      <c r="M18" s="6">
        <v>1.0</v>
      </c>
      <c r="N18" s="6">
        <v>3.0</v>
      </c>
      <c r="O18" s="6" t="s">
        <v>65</v>
      </c>
      <c r="P18" s="6">
        <v>4.0</v>
      </c>
      <c r="Q18" s="6" t="str">
        <f t="shared" si="1"/>
        <v>MEDIO</v>
      </c>
      <c r="R18" s="6" t="str">
        <f t="shared" si="2"/>
        <v>Requiere seguimiento preventivo.</v>
      </c>
      <c r="S18" s="6" t="s">
        <v>218</v>
      </c>
    </row>
    <row r="19">
      <c r="A19" s="6" t="s">
        <v>161</v>
      </c>
      <c r="B19" s="8">
        <v>44442.0</v>
      </c>
      <c r="C19" s="6">
        <v>97.0</v>
      </c>
      <c r="D19" s="6">
        <v>5.0</v>
      </c>
      <c r="E19" s="6">
        <v>5.0</v>
      </c>
      <c r="F19" s="6">
        <v>5.0</v>
      </c>
      <c r="G19" s="6">
        <v>1.0</v>
      </c>
      <c r="H19" s="6">
        <v>0.0</v>
      </c>
      <c r="I19" s="6">
        <v>4.0</v>
      </c>
      <c r="J19" s="6">
        <v>6.0</v>
      </c>
      <c r="K19" s="6">
        <v>0.0</v>
      </c>
      <c r="L19" s="6">
        <v>8.0</v>
      </c>
      <c r="M19" s="6">
        <v>3.0</v>
      </c>
      <c r="N19" s="6">
        <v>1.0</v>
      </c>
      <c r="O19" s="6" t="s">
        <v>65</v>
      </c>
      <c r="P19" s="6">
        <v>5.0</v>
      </c>
      <c r="Q19" s="6" t="str">
        <f t="shared" si="1"/>
        <v>BAJO</v>
      </c>
      <c r="R19" s="6" t="str">
        <f t="shared" si="2"/>
        <v>Perfil con señales favorables de permanencia.</v>
      </c>
      <c r="S19" s="6" t="s">
        <v>223</v>
      </c>
    </row>
    <row r="20">
      <c r="A20" s="6" t="s">
        <v>166</v>
      </c>
      <c r="B20" s="8">
        <v>45356.0</v>
      </c>
      <c r="C20" s="6">
        <v>82.0</v>
      </c>
      <c r="D20" s="6">
        <v>4.0</v>
      </c>
      <c r="E20" s="6">
        <v>4.0</v>
      </c>
      <c r="F20" s="6">
        <v>4.0</v>
      </c>
      <c r="G20" s="6">
        <v>5.0</v>
      </c>
      <c r="H20" s="6">
        <v>2.0</v>
      </c>
      <c r="I20" s="6">
        <v>1.0</v>
      </c>
      <c r="J20" s="6">
        <v>2.0</v>
      </c>
      <c r="K20" s="6">
        <v>1.0</v>
      </c>
      <c r="L20" s="6">
        <v>9.0</v>
      </c>
      <c r="M20" s="6">
        <v>2.0</v>
      </c>
      <c r="N20" s="6">
        <v>1.0</v>
      </c>
      <c r="O20" s="6" t="s">
        <v>93</v>
      </c>
      <c r="P20" s="6">
        <v>5.0</v>
      </c>
      <c r="Q20" s="6" t="str">
        <f t="shared" si="1"/>
        <v>BAJO</v>
      </c>
      <c r="R20" s="6" t="str">
        <f t="shared" si="2"/>
        <v>Perfil con señales favorables de permanencia.</v>
      </c>
      <c r="S20" s="6" t="s">
        <v>232</v>
      </c>
    </row>
    <row r="21" ht="15.75" customHeight="1">
      <c r="A21" s="6" t="s">
        <v>171</v>
      </c>
      <c r="B21" s="8">
        <v>45226.0</v>
      </c>
      <c r="C21" s="6">
        <v>84.0</v>
      </c>
      <c r="D21" s="6">
        <v>4.0</v>
      </c>
      <c r="E21" s="6">
        <v>4.0</v>
      </c>
      <c r="F21" s="6">
        <v>4.0</v>
      </c>
      <c r="G21" s="6">
        <v>3.0</v>
      </c>
      <c r="H21" s="6">
        <v>1.0</v>
      </c>
      <c r="I21" s="6">
        <v>1.0</v>
      </c>
      <c r="J21" s="6">
        <v>2.0</v>
      </c>
      <c r="K21" s="6">
        <v>0.0</v>
      </c>
      <c r="L21" s="6">
        <v>8.0</v>
      </c>
      <c r="M21" s="6">
        <v>2.0</v>
      </c>
      <c r="N21" s="6">
        <v>1.0</v>
      </c>
      <c r="O21" s="6" t="s">
        <v>150</v>
      </c>
      <c r="P21" s="6">
        <v>5.0</v>
      </c>
      <c r="Q21" s="6" t="str">
        <f t="shared" si="1"/>
        <v>MEDIO</v>
      </c>
      <c r="R21" s="6" t="str">
        <f t="shared" si="2"/>
        <v>Requiere seguimiento preventivo.</v>
      </c>
      <c r="S21" s="6" t="s">
        <v>237</v>
      </c>
    </row>
    <row r="22" ht="15.75" customHeight="1">
      <c r="A22" s="6" t="s">
        <v>176</v>
      </c>
      <c r="B22" s="8">
        <v>44804.0</v>
      </c>
      <c r="C22" s="6">
        <v>74.0</v>
      </c>
      <c r="D22" s="6">
        <v>4.0</v>
      </c>
      <c r="E22" s="6">
        <v>3.0</v>
      </c>
      <c r="F22" s="6">
        <v>3.0</v>
      </c>
      <c r="G22" s="6">
        <v>9.0</v>
      </c>
      <c r="H22" s="6">
        <v>3.0</v>
      </c>
      <c r="I22" s="6">
        <v>1.0</v>
      </c>
      <c r="J22" s="6">
        <v>1.0</v>
      </c>
      <c r="K22" s="6">
        <v>2.0</v>
      </c>
      <c r="L22" s="6">
        <v>9.0</v>
      </c>
      <c r="M22" s="6">
        <v>1.0</v>
      </c>
      <c r="N22" s="6">
        <v>2.0</v>
      </c>
      <c r="O22" s="6" t="s">
        <v>93</v>
      </c>
      <c r="P22" s="6">
        <v>5.0</v>
      </c>
      <c r="Q22" s="6" t="str">
        <f t="shared" si="1"/>
        <v>BAJO</v>
      </c>
      <c r="R22" s="6" t="str">
        <f t="shared" si="2"/>
        <v>Perfil con señales favorables de permanencia.</v>
      </c>
      <c r="S22" s="6" t="s">
        <v>242</v>
      </c>
    </row>
    <row r="23" ht="15.75" customHeight="1">
      <c r="A23" s="6" t="s">
        <v>181</v>
      </c>
      <c r="B23" s="8">
        <v>44498.0</v>
      </c>
      <c r="C23" s="6">
        <v>90.0</v>
      </c>
      <c r="D23" s="6">
        <v>5.0</v>
      </c>
      <c r="E23" s="6">
        <v>5.0</v>
      </c>
      <c r="F23" s="6">
        <v>4.0</v>
      </c>
      <c r="G23" s="6">
        <v>2.0</v>
      </c>
      <c r="H23" s="6">
        <v>0.0</v>
      </c>
      <c r="I23" s="6">
        <v>3.0</v>
      </c>
      <c r="J23" s="6">
        <v>4.0</v>
      </c>
      <c r="K23" s="6">
        <v>0.0</v>
      </c>
      <c r="L23" s="6">
        <v>8.0</v>
      </c>
      <c r="M23" s="6">
        <v>3.0</v>
      </c>
      <c r="N23" s="6">
        <v>1.0</v>
      </c>
      <c r="O23" s="6" t="s">
        <v>65</v>
      </c>
      <c r="P23" s="6">
        <v>5.0</v>
      </c>
      <c r="Q23" s="6" t="str">
        <f t="shared" si="1"/>
        <v>BAJO</v>
      </c>
      <c r="R23" s="6" t="str">
        <f t="shared" si="2"/>
        <v>Perfil con señales favorables de permanencia.</v>
      </c>
      <c r="S23" s="6" t="s">
        <v>243</v>
      </c>
    </row>
    <row r="24" ht="15.75" customHeight="1">
      <c r="A24" s="6" t="s">
        <v>186</v>
      </c>
      <c r="B24" s="8">
        <v>45857.0</v>
      </c>
      <c r="C24" s="6">
        <v>67.0</v>
      </c>
      <c r="D24" s="6">
        <v>3.0</v>
      </c>
      <c r="E24" s="6">
        <v>3.0</v>
      </c>
      <c r="F24" s="6">
        <v>3.0</v>
      </c>
      <c r="G24" s="6">
        <v>11.0</v>
      </c>
      <c r="H24" s="6">
        <v>4.0</v>
      </c>
      <c r="I24" s="6">
        <v>0.0</v>
      </c>
      <c r="J24" s="6">
        <v>0.0</v>
      </c>
      <c r="K24" s="6">
        <v>2.0</v>
      </c>
      <c r="L24" s="6">
        <v>9.0</v>
      </c>
      <c r="M24" s="6">
        <v>1.0</v>
      </c>
      <c r="N24" s="6">
        <v>3.0</v>
      </c>
      <c r="O24" s="6" t="s">
        <v>93</v>
      </c>
      <c r="P24" s="6">
        <v>4.0</v>
      </c>
      <c r="Q24" s="6" t="str">
        <f t="shared" si="1"/>
        <v>BAJO</v>
      </c>
      <c r="R24" s="6" t="str">
        <f t="shared" si="2"/>
        <v>Requiere seguimiento preventivo.</v>
      </c>
      <c r="S24" s="6" t="s">
        <v>244</v>
      </c>
    </row>
    <row r="25" ht="15.75" customHeight="1">
      <c r="A25" s="6" t="s">
        <v>191</v>
      </c>
      <c r="B25" s="8">
        <v>46266.0</v>
      </c>
      <c r="C25" s="6">
        <v>92.0</v>
      </c>
      <c r="D25" s="6">
        <v>5.0</v>
      </c>
      <c r="E25" s="6">
        <v>5.0</v>
      </c>
      <c r="F25" s="6">
        <v>5.0</v>
      </c>
      <c r="G25" s="6">
        <v>1.0</v>
      </c>
      <c r="H25" s="6">
        <v>0.0</v>
      </c>
      <c r="I25" s="6">
        <v>3.0</v>
      </c>
      <c r="J25" s="6">
        <v>5.0</v>
      </c>
      <c r="K25" s="6">
        <v>0.0</v>
      </c>
      <c r="L25" s="6">
        <v>8.0</v>
      </c>
      <c r="M25" s="6">
        <v>3.0</v>
      </c>
      <c r="N25" s="6">
        <v>1.0</v>
      </c>
      <c r="O25" s="6" t="s">
        <v>65</v>
      </c>
      <c r="P25" s="6">
        <v>5.0</v>
      </c>
      <c r="Q25" s="6" t="str">
        <f t="shared" si="1"/>
        <v>MEDIO</v>
      </c>
      <c r="R25" s="6" t="str">
        <f t="shared" si="2"/>
        <v>Perfil con señales favorables de permanencia.</v>
      </c>
      <c r="S25" s="6" t="s">
        <v>245</v>
      </c>
    </row>
    <row r="26" ht="15.75" customHeight="1">
      <c r="A26" s="6" t="s">
        <v>198</v>
      </c>
      <c r="B26" s="8">
        <v>46266.0</v>
      </c>
      <c r="C26" s="6">
        <v>78.0</v>
      </c>
      <c r="D26" s="6">
        <v>4.0</v>
      </c>
      <c r="E26" s="6">
        <v>3.0</v>
      </c>
      <c r="F26" s="6">
        <v>4.0</v>
      </c>
      <c r="G26" s="6">
        <v>5.0</v>
      </c>
      <c r="H26" s="6">
        <v>2.0</v>
      </c>
      <c r="I26" s="6">
        <v>1.0</v>
      </c>
      <c r="J26" s="6">
        <v>1.0</v>
      </c>
      <c r="K26" s="6">
        <v>1.0</v>
      </c>
      <c r="L26" s="6">
        <v>8.0</v>
      </c>
      <c r="M26" s="6">
        <v>2.0</v>
      </c>
      <c r="N26" s="6">
        <v>2.0</v>
      </c>
      <c r="O26" s="6" t="s">
        <v>65</v>
      </c>
      <c r="P26" s="6">
        <v>5.0</v>
      </c>
      <c r="Q26" s="6" t="str">
        <f t="shared" si="1"/>
        <v>BAJO</v>
      </c>
      <c r="R26" s="6" t="str">
        <f t="shared" si="2"/>
        <v>Perfil con señales favorables de permanencia.</v>
      </c>
      <c r="S26" s="6" t="s">
        <v>246</v>
      </c>
    </row>
    <row r="27" ht="15.75" customHeight="1">
      <c r="A27" s="6" t="s">
        <v>204</v>
      </c>
      <c r="B27" s="8">
        <v>46266.0</v>
      </c>
      <c r="C27" s="6">
        <v>85.0</v>
      </c>
      <c r="D27" s="6">
        <v>4.0</v>
      </c>
      <c r="E27" s="6">
        <v>4.0</v>
      </c>
      <c r="F27" s="6">
        <v>4.0</v>
      </c>
      <c r="G27" s="6">
        <v>3.0</v>
      </c>
      <c r="H27" s="6">
        <v>1.0</v>
      </c>
      <c r="I27" s="6">
        <v>1.0</v>
      </c>
      <c r="J27" s="6">
        <v>2.0</v>
      </c>
      <c r="K27" s="6">
        <v>0.0</v>
      </c>
      <c r="L27" s="6">
        <v>8.0</v>
      </c>
      <c r="M27" s="6">
        <v>2.0</v>
      </c>
      <c r="N27" s="6">
        <v>1.0</v>
      </c>
      <c r="O27" s="6" t="s">
        <v>93</v>
      </c>
      <c r="P27" s="6">
        <v>5.0</v>
      </c>
      <c r="Q27" s="6" t="str">
        <f t="shared" si="1"/>
        <v>MEDIO</v>
      </c>
      <c r="R27" s="6" t="str">
        <f t="shared" si="2"/>
        <v>Perfil con señales favorables de permanencia.</v>
      </c>
      <c r="S27" s="6" t="s">
        <v>247</v>
      </c>
    </row>
    <row r="28" ht="15.75" customHeight="1">
      <c r="A28" s="6" t="s">
        <v>208</v>
      </c>
      <c r="B28" s="8">
        <v>46266.0</v>
      </c>
      <c r="C28" s="6">
        <v>94.0</v>
      </c>
      <c r="D28" s="6">
        <v>5.0</v>
      </c>
      <c r="E28" s="6">
        <v>4.0</v>
      </c>
      <c r="F28" s="6">
        <v>5.0</v>
      </c>
      <c r="G28" s="6">
        <v>2.0</v>
      </c>
      <c r="H28" s="6">
        <v>0.0</v>
      </c>
      <c r="I28" s="6">
        <v>3.0</v>
      </c>
      <c r="J28" s="6">
        <v>5.0</v>
      </c>
      <c r="K28" s="6">
        <v>0.0</v>
      </c>
      <c r="L28" s="6">
        <v>9.0</v>
      </c>
      <c r="M28" s="6">
        <v>3.0</v>
      </c>
      <c r="N28" s="6">
        <v>1.0</v>
      </c>
      <c r="O28" s="6" t="s">
        <v>65</v>
      </c>
      <c r="P28" s="6">
        <v>5.0</v>
      </c>
      <c r="Q28" s="6" t="str">
        <f t="shared" si="1"/>
        <v>BAJO</v>
      </c>
      <c r="R28" s="6" t="str">
        <f t="shared" si="2"/>
        <v>Requiere seguimiento preventivo.</v>
      </c>
      <c r="S28" s="6" t="s">
        <v>248</v>
      </c>
    </row>
    <row r="29" ht="15.75" customHeight="1">
      <c r="A29" s="6" t="s">
        <v>214</v>
      </c>
      <c r="B29" s="8">
        <v>46266.0</v>
      </c>
      <c r="C29" s="6">
        <v>80.0</v>
      </c>
      <c r="D29" s="6">
        <v>4.0</v>
      </c>
      <c r="E29" s="6">
        <v>4.0</v>
      </c>
      <c r="F29" s="6">
        <v>4.0</v>
      </c>
      <c r="G29" s="6">
        <v>4.0</v>
      </c>
      <c r="H29" s="6">
        <v>2.0</v>
      </c>
      <c r="I29" s="6">
        <v>1.0</v>
      </c>
      <c r="J29" s="6">
        <v>1.0</v>
      </c>
      <c r="K29" s="6">
        <v>0.0</v>
      </c>
      <c r="L29" s="6">
        <v>8.0</v>
      </c>
      <c r="M29" s="6">
        <v>2.0</v>
      </c>
      <c r="N29" s="6">
        <v>1.0</v>
      </c>
      <c r="O29" s="6" t="s">
        <v>65</v>
      </c>
      <c r="P29" s="6">
        <v>5.0</v>
      </c>
      <c r="Q29" s="6" t="str">
        <f t="shared" si="1"/>
        <v>BAJO</v>
      </c>
      <c r="R29" s="6" t="str">
        <f t="shared" si="2"/>
        <v>Perfil con señales favorables de permanencia.</v>
      </c>
      <c r="S29" s="6" t="s">
        <v>249</v>
      </c>
    </row>
    <row r="30" ht="15.75" customHeight="1">
      <c r="A30" s="6" t="s">
        <v>219</v>
      </c>
      <c r="B30" s="8">
        <v>46266.0</v>
      </c>
      <c r="C30" s="6">
        <v>76.0</v>
      </c>
      <c r="D30" s="6">
        <v>3.0</v>
      </c>
      <c r="E30" s="6">
        <v>3.0</v>
      </c>
      <c r="F30" s="6">
        <v>4.0</v>
      </c>
      <c r="G30" s="6">
        <v>7.0</v>
      </c>
      <c r="H30" s="6">
        <v>3.0</v>
      </c>
      <c r="I30" s="6">
        <v>0.0</v>
      </c>
      <c r="J30" s="6">
        <v>0.0</v>
      </c>
      <c r="K30" s="6">
        <v>1.0</v>
      </c>
      <c r="L30" s="6">
        <v>8.0</v>
      </c>
      <c r="M30" s="6">
        <v>1.0</v>
      </c>
      <c r="N30" s="6">
        <v>2.0</v>
      </c>
      <c r="O30" s="6" t="s">
        <v>150</v>
      </c>
      <c r="P30" s="6">
        <v>4.0</v>
      </c>
      <c r="Q30" s="6" t="str">
        <f t="shared" si="1"/>
        <v>BAJO</v>
      </c>
      <c r="R30" s="6" t="str">
        <f t="shared" si="2"/>
        <v>Requiere seguimiento preventivo.</v>
      </c>
      <c r="S30" s="6" t="s">
        <v>250</v>
      </c>
    </row>
    <row r="31" ht="15.75" customHeight="1">
      <c r="A31" s="6" t="s">
        <v>224</v>
      </c>
      <c r="B31" s="8">
        <v>46266.0</v>
      </c>
      <c r="C31" s="6">
        <v>84.0</v>
      </c>
      <c r="D31" s="6">
        <v>4.0</v>
      </c>
      <c r="E31" s="6">
        <v>4.0</v>
      </c>
      <c r="F31" s="6">
        <v>4.0</v>
      </c>
      <c r="G31" s="6">
        <v>4.0</v>
      </c>
      <c r="H31" s="6">
        <v>1.0</v>
      </c>
      <c r="I31" s="6">
        <v>2.0</v>
      </c>
      <c r="J31" s="6">
        <v>2.0</v>
      </c>
      <c r="K31" s="6">
        <v>0.0</v>
      </c>
      <c r="L31" s="6">
        <v>8.0</v>
      </c>
      <c r="M31" s="6">
        <v>2.0</v>
      </c>
      <c r="N31" s="6">
        <v>1.0</v>
      </c>
      <c r="O31" s="6" t="s">
        <v>93</v>
      </c>
      <c r="P31" s="6">
        <v>5.0</v>
      </c>
      <c r="Q31" s="6" t="str">
        <f t="shared" si="1"/>
        <v>BAJO</v>
      </c>
      <c r="R31" s="6" t="str">
        <f t="shared" si="2"/>
        <v>Perfil con señales favorables de permanencia.</v>
      </c>
      <c r="S31" s="6" t="s">
        <v>251</v>
      </c>
    </row>
    <row r="32" ht="15.75" customHeight="1">
      <c r="A32" s="6" t="s">
        <v>228</v>
      </c>
      <c r="B32" s="8">
        <v>46266.0</v>
      </c>
      <c r="C32" s="6">
        <v>87.0</v>
      </c>
      <c r="D32" s="6">
        <v>4.0</v>
      </c>
      <c r="E32" s="6">
        <v>4.0</v>
      </c>
      <c r="F32" s="6">
        <v>4.0</v>
      </c>
      <c r="G32" s="6">
        <v>3.0</v>
      </c>
      <c r="H32" s="6">
        <v>1.0</v>
      </c>
      <c r="I32" s="6">
        <v>2.0</v>
      </c>
      <c r="J32" s="6">
        <v>3.0</v>
      </c>
      <c r="K32" s="6">
        <v>0.0</v>
      </c>
      <c r="L32" s="6">
        <v>8.0</v>
      </c>
      <c r="M32" s="6">
        <v>2.0</v>
      </c>
      <c r="N32" s="6">
        <v>1.0</v>
      </c>
      <c r="O32" s="6" t="s">
        <v>65</v>
      </c>
      <c r="P32" s="6">
        <v>5.0</v>
      </c>
      <c r="Q32" s="6" t="str">
        <f t="shared" si="1"/>
        <v>BAJO</v>
      </c>
      <c r="R32" s="6" t="str">
        <f t="shared" si="2"/>
        <v>Perfil con señales favorables de permanencia.</v>
      </c>
      <c r="S32" s="6" t="s">
        <v>252</v>
      </c>
    </row>
    <row r="33" ht="15.75" customHeight="1">
      <c r="A33" s="6" t="s">
        <v>233</v>
      </c>
      <c r="B33" s="8">
        <v>46266.0</v>
      </c>
      <c r="C33" s="6">
        <v>71.0</v>
      </c>
      <c r="D33" s="6">
        <v>3.0</v>
      </c>
      <c r="E33" s="6">
        <v>3.0</v>
      </c>
      <c r="F33" s="6">
        <v>3.0</v>
      </c>
      <c r="G33" s="6">
        <v>8.0</v>
      </c>
      <c r="H33" s="6">
        <v>3.0</v>
      </c>
      <c r="I33" s="6">
        <v>0.0</v>
      </c>
      <c r="J33" s="6">
        <v>1.0</v>
      </c>
      <c r="K33" s="6">
        <v>2.0</v>
      </c>
      <c r="L33" s="6">
        <v>9.0</v>
      </c>
      <c r="M33" s="6">
        <v>1.0</v>
      </c>
      <c r="N33" s="6">
        <v>2.0</v>
      </c>
      <c r="O33" s="6" t="s">
        <v>93</v>
      </c>
      <c r="P33" s="6">
        <v>4.0</v>
      </c>
      <c r="Q33" s="6" t="str">
        <f t="shared" si="1"/>
        <v>MEDIO</v>
      </c>
      <c r="R33" s="6" t="str">
        <f t="shared" si="2"/>
        <v>Perfil con señales favorables de permanencia.</v>
      </c>
      <c r="S33" s="6" t="s">
        <v>253</v>
      </c>
    </row>
    <row r="34" ht="15.75" customHeight="1">
      <c r="A34" s="6" t="s">
        <v>238</v>
      </c>
      <c r="B34" s="11">
        <v>46266.0</v>
      </c>
      <c r="C34" s="6">
        <v>83.0</v>
      </c>
      <c r="D34" s="6">
        <v>4.0</v>
      </c>
      <c r="E34" s="6">
        <v>4.0</v>
      </c>
      <c r="F34" s="6">
        <v>4.0</v>
      </c>
      <c r="G34" s="6">
        <v>3.0</v>
      </c>
      <c r="H34" s="6">
        <v>1.0</v>
      </c>
      <c r="I34" s="6">
        <v>1.0</v>
      </c>
      <c r="J34" s="6">
        <v>2.0</v>
      </c>
      <c r="K34" s="6">
        <v>0.0</v>
      </c>
      <c r="L34" s="6">
        <v>8.0</v>
      </c>
      <c r="M34" s="6">
        <v>2.0</v>
      </c>
      <c r="N34" s="6">
        <v>1.0</v>
      </c>
      <c r="O34" s="6" t="s">
        <v>65</v>
      </c>
      <c r="P34" s="6">
        <v>5.0</v>
      </c>
      <c r="Q34" s="6" t="str">
        <f t="shared" si="1"/>
        <v>BAJO</v>
      </c>
      <c r="R34" s="6" t="str">
        <f t="shared" si="2"/>
        <v>Perfil con señales favorables de permanencia.</v>
      </c>
      <c r="S34" s="6" t="s">
        <v>254</v>
      </c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 t="str">
        <f t="shared" si="1"/>
        <v>BAJO</v>
      </c>
      <c r="R35" s="6" t="str">
        <f t="shared" si="2"/>
        <v>Perfil con señales favorables de permanencia.</v>
      </c>
      <c r="S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 t="str">
        <f t="shared" si="1"/>
        <v>MEDIO</v>
      </c>
      <c r="R36" s="6" t="str">
        <f t="shared" si="2"/>
        <v>Requiere seguimiento preventivo.</v>
      </c>
      <c r="S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 t="str">
        <f t="shared" si="1"/>
        <v>BAJO</v>
      </c>
      <c r="R37" s="6" t="str">
        <f t="shared" si="2"/>
        <v>Perfil con señales favorables de permanencia.</v>
      </c>
      <c r="S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4" width="19.0"/>
    <col customWidth="1" min="5" max="6" width="26.0"/>
    <col customWidth="1" min="7" max="7" width="22.0"/>
    <col customWidth="1" min="8" max="8" width="27.0"/>
    <col customWidth="1" min="9" max="9" width="20.0"/>
    <col customWidth="1" min="10" max="10" width="21.0"/>
    <col customWidth="1" min="11" max="12" width="28.0"/>
    <col customWidth="1" min="13" max="13" width="22.0"/>
    <col customWidth="1" min="14" max="14" width="18.0"/>
    <col customWidth="1" min="15" max="15" width="17.0"/>
    <col customWidth="1" min="16" max="16" width="22.0"/>
    <col customWidth="1" min="17" max="17" width="26.0"/>
    <col customWidth="1" min="18" max="18" width="28.0"/>
    <col customWidth="1" min="19" max="19" width="20.0"/>
    <col customWidth="1" min="20" max="20" width="23.0"/>
    <col customWidth="1" min="21" max="21" width="17.0"/>
    <col customWidth="1" min="22" max="22" width="12.0"/>
    <col customWidth="1" min="23" max="23" width="16.0"/>
    <col customWidth="1" min="24" max="24" width="26.0"/>
    <col customWidth="1" min="25" max="26" width="8.57"/>
  </cols>
  <sheetData>
    <row r="1" ht="30.0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6" t="s">
        <v>6</v>
      </c>
      <c r="B4" s="6" t="s">
        <v>304</v>
      </c>
      <c r="C4" s="6" t="s">
        <v>305</v>
      </c>
      <c r="D4" s="6" t="s">
        <v>306</v>
      </c>
      <c r="E4" s="6" t="s">
        <v>307</v>
      </c>
      <c r="F4" s="6" t="s">
        <v>308</v>
      </c>
      <c r="G4" s="6" t="s">
        <v>309</v>
      </c>
      <c r="H4" s="6" t="s">
        <v>310</v>
      </c>
      <c r="I4" s="6" t="s">
        <v>311</v>
      </c>
      <c r="J4" s="6" t="s">
        <v>14</v>
      </c>
      <c r="K4" s="6" t="s">
        <v>12</v>
      </c>
      <c r="L4" s="6" t="s">
        <v>312</v>
      </c>
      <c r="M4" s="6" t="s">
        <v>105</v>
      </c>
      <c r="N4" s="6" t="s">
        <v>107</v>
      </c>
      <c r="O4" s="6" t="s">
        <v>15</v>
      </c>
      <c r="P4" s="6" t="s">
        <v>110</v>
      </c>
      <c r="Q4" s="6" t="s">
        <v>111</v>
      </c>
      <c r="R4" s="6" t="s">
        <v>112</v>
      </c>
      <c r="S4" s="6" t="s">
        <v>113</v>
      </c>
      <c r="T4" s="6" t="s">
        <v>313</v>
      </c>
      <c r="U4" s="6" t="s">
        <v>114</v>
      </c>
      <c r="V4" s="6" t="s">
        <v>314</v>
      </c>
      <c r="W4" s="6" t="s">
        <v>315</v>
      </c>
      <c r="X4" s="6" t="s">
        <v>115</v>
      </c>
    </row>
    <row r="5">
      <c r="A5" s="6" t="s">
        <v>31</v>
      </c>
      <c r="B5" s="8">
        <v>43108.0</v>
      </c>
      <c r="C5" s="8">
        <v>43111.0</v>
      </c>
      <c r="D5" s="8">
        <v>43115.0</v>
      </c>
      <c r="E5" s="8">
        <v>43118.0</v>
      </c>
      <c r="F5" s="8">
        <v>43122.0</v>
      </c>
      <c r="G5" s="8">
        <v>43125.0</v>
      </c>
      <c r="H5" s="8">
        <v>43127.0</v>
      </c>
      <c r="I5" s="8">
        <v>43143.0</v>
      </c>
      <c r="J5" s="6" t="s">
        <v>36</v>
      </c>
      <c r="K5" s="6" t="s">
        <v>35</v>
      </c>
      <c r="L5" s="6" t="s">
        <v>316</v>
      </c>
      <c r="M5" s="6" t="s">
        <v>317</v>
      </c>
      <c r="N5" s="6">
        <v>8.0</v>
      </c>
      <c r="O5" s="6" t="s">
        <v>52</v>
      </c>
      <c r="P5" s="6">
        <v>90.0</v>
      </c>
      <c r="Q5" s="6">
        <v>98.8</v>
      </c>
      <c r="R5" s="6">
        <v>85.0</v>
      </c>
      <c r="S5" s="6">
        <v>1.0</v>
      </c>
      <c r="T5" s="6" t="s">
        <v>38</v>
      </c>
      <c r="U5" s="6">
        <v>7600000.0</v>
      </c>
      <c r="V5" s="6" t="s">
        <v>192</v>
      </c>
      <c r="W5" s="6" t="s">
        <v>318</v>
      </c>
      <c r="X5" s="6"/>
    </row>
    <row r="6">
      <c r="A6" s="6" t="s">
        <v>46</v>
      </c>
      <c r="B6" s="8">
        <v>43961.0</v>
      </c>
      <c r="C6" s="8">
        <v>43964.0</v>
      </c>
      <c r="D6" s="8">
        <v>43969.0</v>
      </c>
      <c r="E6" s="8">
        <v>43972.0</v>
      </c>
      <c r="F6" s="8">
        <v>43976.0</v>
      </c>
      <c r="G6" s="8">
        <v>43979.0</v>
      </c>
      <c r="H6" s="8">
        <v>43981.0</v>
      </c>
      <c r="I6" s="8">
        <v>43997.0</v>
      </c>
      <c r="J6" s="6" t="s">
        <v>55</v>
      </c>
      <c r="K6" s="6" t="s">
        <v>54</v>
      </c>
      <c r="L6" s="6" t="s">
        <v>319</v>
      </c>
      <c r="M6" s="6" t="s">
        <v>320</v>
      </c>
      <c r="N6" s="6">
        <v>4.0</v>
      </c>
      <c r="O6" s="6" t="s">
        <v>52</v>
      </c>
      <c r="P6" s="6">
        <v>86.0</v>
      </c>
      <c r="Q6" s="6">
        <v>95.0</v>
      </c>
      <c r="R6" s="6">
        <v>82.0</v>
      </c>
      <c r="S6" s="6">
        <v>2.0</v>
      </c>
      <c r="T6" s="6" t="s">
        <v>38</v>
      </c>
      <c r="U6" s="6">
        <v>4300000.0</v>
      </c>
      <c r="V6" s="6" t="s">
        <v>321</v>
      </c>
      <c r="W6" s="6" t="s">
        <v>318</v>
      </c>
      <c r="X6" s="6"/>
    </row>
    <row r="7">
      <c r="A7" s="6" t="s">
        <v>67</v>
      </c>
      <c r="B7" s="8">
        <v>44177.0</v>
      </c>
      <c r="C7" s="8">
        <v>44180.0</v>
      </c>
      <c r="D7" s="8">
        <v>44186.0</v>
      </c>
      <c r="E7" s="8">
        <v>44189.0</v>
      </c>
      <c r="F7" s="8">
        <v>44193.0</v>
      </c>
      <c r="G7" s="8">
        <v>44196.0</v>
      </c>
      <c r="H7" s="8">
        <v>44198.0</v>
      </c>
      <c r="I7" s="8">
        <v>44214.0</v>
      </c>
      <c r="J7" s="6" t="s">
        <v>72</v>
      </c>
      <c r="K7" s="6" t="s">
        <v>71</v>
      </c>
      <c r="L7" s="6" t="s">
        <v>322</v>
      </c>
      <c r="M7" s="6" t="s">
        <v>323</v>
      </c>
      <c r="N7" s="6">
        <v>5.0</v>
      </c>
      <c r="O7" s="6" t="s">
        <v>52</v>
      </c>
      <c r="P7" s="6">
        <v>88.0</v>
      </c>
      <c r="Q7" s="6">
        <v>94.3</v>
      </c>
      <c r="R7" s="6">
        <v>84.0</v>
      </c>
      <c r="S7" s="6">
        <v>2.0</v>
      </c>
      <c r="T7" s="6" t="s">
        <v>74</v>
      </c>
      <c r="U7" s="6">
        <v>3900000.0</v>
      </c>
      <c r="V7" s="6" t="s">
        <v>324</v>
      </c>
      <c r="W7" s="6" t="s">
        <v>318</v>
      </c>
      <c r="X7" s="6"/>
    </row>
    <row r="8">
      <c r="A8" s="6" t="s">
        <v>77</v>
      </c>
      <c r="B8" s="8">
        <v>42944.0</v>
      </c>
      <c r="C8" s="8">
        <v>42947.0</v>
      </c>
      <c r="D8" s="8">
        <v>42954.0</v>
      </c>
      <c r="E8" s="8">
        <v>42957.0</v>
      </c>
      <c r="F8" s="8">
        <v>42961.0</v>
      </c>
      <c r="G8" s="8">
        <v>42964.0</v>
      </c>
      <c r="H8" s="8">
        <v>42966.0</v>
      </c>
      <c r="I8" s="8">
        <v>42982.0</v>
      </c>
      <c r="J8" s="6" t="s">
        <v>82</v>
      </c>
      <c r="K8" s="6" t="s">
        <v>81</v>
      </c>
      <c r="L8" s="6" t="s">
        <v>327</v>
      </c>
      <c r="M8" s="6" t="s">
        <v>320</v>
      </c>
      <c r="N8" s="6">
        <v>9.0</v>
      </c>
      <c r="O8" s="6" t="s">
        <v>52</v>
      </c>
      <c r="P8" s="6">
        <v>96.0</v>
      </c>
      <c r="Q8" s="6">
        <v>99.8</v>
      </c>
      <c r="R8" s="6">
        <v>91.0</v>
      </c>
      <c r="S8" s="6">
        <v>2.0</v>
      </c>
      <c r="T8" s="6" t="s">
        <v>38</v>
      </c>
      <c r="U8" s="6">
        <v>5200000.0</v>
      </c>
      <c r="V8" s="6" t="s">
        <v>330</v>
      </c>
      <c r="W8" s="6" t="s">
        <v>318</v>
      </c>
      <c r="X8" s="6">
        <f t="shared" ref="X8:X37" si="1">I5-B5</f>
        <v>35</v>
      </c>
    </row>
    <row r="9">
      <c r="A9" s="6" t="s">
        <v>88</v>
      </c>
      <c r="B9" s="8">
        <v>44602.0</v>
      </c>
      <c r="C9" s="8">
        <v>44605.0</v>
      </c>
      <c r="D9" s="8">
        <v>44613.0</v>
      </c>
      <c r="E9" s="8">
        <v>44616.0</v>
      </c>
      <c r="F9" s="8">
        <v>44620.0</v>
      </c>
      <c r="G9" s="8">
        <v>44623.0</v>
      </c>
      <c r="H9" s="8">
        <v>44625.0</v>
      </c>
      <c r="I9" s="8">
        <v>44641.0</v>
      </c>
      <c r="J9" s="6" t="s">
        <v>92</v>
      </c>
      <c r="K9" s="6" t="s">
        <v>91</v>
      </c>
      <c r="L9" s="6" t="s">
        <v>336</v>
      </c>
      <c r="M9" s="6" t="s">
        <v>317</v>
      </c>
      <c r="N9" s="6">
        <v>3.0</v>
      </c>
      <c r="O9" s="6" t="s">
        <v>52</v>
      </c>
      <c r="P9" s="6">
        <v>92.0</v>
      </c>
      <c r="Q9" s="6">
        <v>98.5</v>
      </c>
      <c r="R9" s="6">
        <v>85.0</v>
      </c>
      <c r="S9" s="6">
        <v>1.0</v>
      </c>
      <c r="T9" s="6" t="s">
        <v>74</v>
      </c>
      <c r="U9" s="6">
        <v>3600000.0</v>
      </c>
      <c r="V9" s="6" t="s">
        <v>192</v>
      </c>
      <c r="W9" s="6" t="s">
        <v>318</v>
      </c>
      <c r="X9" s="6">
        <f t="shared" si="1"/>
        <v>36</v>
      </c>
    </row>
    <row r="10">
      <c r="A10" s="6" t="s">
        <v>96</v>
      </c>
      <c r="B10" s="8">
        <v>45077.0</v>
      </c>
      <c r="C10" s="8">
        <v>45080.0</v>
      </c>
      <c r="D10" s="8">
        <v>45084.0</v>
      </c>
      <c r="E10" s="8">
        <v>45087.0</v>
      </c>
      <c r="F10" s="8">
        <v>45091.0</v>
      </c>
      <c r="G10" s="8">
        <v>45094.0</v>
      </c>
      <c r="H10" s="8">
        <v>45096.0</v>
      </c>
      <c r="I10" s="8">
        <v>45117.0</v>
      </c>
      <c r="J10" s="6" t="s">
        <v>100</v>
      </c>
      <c r="K10" s="6" t="s">
        <v>99</v>
      </c>
      <c r="L10" s="6" t="s">
        <v>339</v>
      </c>
      <c r="M10" s="6" t="s">
        <v>340</v>
      </c>
      <c r="N10" s="6">
        <v>2.0</v>
      </c>
      <c r="O10" s="6" t="s">
        <v>133</v>
      </c>
      <c r="P10" s="6">
        <v>78.0</v>
      </c>
      <c r="Q10" s="6">
        <v>89.2</v>
      </c>
      <c r="R10" s="6">
        <v>77.0</v>
      </c>
      <c r="S10" s="6">
        <v>2.0</v>
      </c>
      <c r="T10" s="6" t="s">
        <v>101</v>
      </c>
      <c r="U10" s="6">
        <v>2100000.0</v>
      </c>
      <c r="V10" s="6" t="s">
        <v>321</v>
      </c>
      <c r="W10" s="6" t="s">
        <v>318</v>
      </c>
      <c r="X10" s="6">
        <f t="shared" si="1"/>
        <v>37</v>
      </c>
    </row>
    <row r="11">
      <c r="A11" s="6" t="s">
        <v>103</v>
      </c>
      <c r="B11" s="8">
        <v>43753.0</v>
      </c>
      <c r="C11" s="8">
        <v>43756.0</v>
      </c>
      <c r="D11" s="8">
        <v>43761.0</v>
      </c>
      <c r="E11" s="8">
        <v>43764.0</v>
      </c>
      <c r="F11" s="8">
        <v>43768.0</v>
      </c>
      <c r="G11" s="8">
        <v>43771.0</v>
      </c>
      <c r="H11" s="8">
        <v>43773.0</v>
      </c>
      <c r="I11" s="8">
        <v>43794.0</v>
      </c>
      <c r="J11" s="6" t="s">
        <v>109</v>
      </c>
      <c r="K11" s="6" t="s">
        <v>108</v>
      </c>
      <c r="L11" s="6" t="s">
        <v>346</v>
      </c>
      <c r="M11" s="6" t="s">
        <v>317</v>
      </c>
      <c r="N11" s="6">
        <v>6.0</v>
      </c>
      <c r="O11" s="6" t="s">
        <v>52</v>
      </c>
      <c r="P11" s="6">
        <v>92.0</v>
      </c>
      <c r="Q11" s="6">
        <v>98.5</v>
      </c>
      <c r="R11" s="6">
        <v>84.0</v>
      </c>
      <c r="S11" s="6">
        <v>2.0</v>
      </c>
      <c r="T11" s="6" t="s">
        <v>38</v>
      </c>
      <c r="U11" s="6">
        <v>4800000.0</v>
      </c>
      <c r="V11" s="6" t="s">
        <v>324</v>
      </c>
      <c r="W11" s="6" t="s">
        <v>318</v>
      </c>
      <c r="X11" s="6">
        <f t="shared" si="1"/>
        <v>38</v>
      </c>
    </row>
    <row r="12">
      <c r="A12" s="6" t="s">
        <v>119</v>
      </c>
      <c r="B12" s="8">
        <v>45285.0</v>
      </c>
      <c r="C12" s="8">
        <v>45288.0</v>
      </c>
      <c r="D12" s="8">
        <v>45294.0</v>
      </c>
      <c r="E12" s="8">
        <v>45297.0</v>
      </c>
      <c r="F12" s="8">
        <v>45301.0</v>
      </c>
      <c r="G12" s="8">
        <v>45304.0</v>
      </c>
      <c r="H12" s="8">
        <v>45306.0</v>
      </c>
      <c r="I12" s="8">
        <v>45327.0</v>
      </c>
      <c r="J12" s="6" t="s">
        <v>125</v>
      </c>
      <c r="K12" s="6" t="s">
        <v>124</v>
      </c>
      <c r="L12" s="6" t="s">
        <v>353</v>
      </c>
      <c r="M12" s="6" t="s">
        <v>323</v>
      </c>
      <c r="N12" s="6">
        <v>1.0</v>
      </c>
      <c r="O12" s="6" t="s">
        <v>133</v>
      </c>
      <c r="P12" s="6">
        <v>82.0</v>
      </c>
      <c r="Q12" s="6">
        <v>87.8</v>
      </c>
      <c r="R12" s="6">
        <v>81.0</v>
      </c>
      <c r="S12" s="6">
        <v>2.0</v>
      </c>
      <c r="T12" s="6" t="s">
        <v>74</v>
      </c>
      <c r="U12" s="6">
        <v>2400000.0</v>
      </c>
      <c r="V12" s="6" t="s">
        <v>330</v>
      </c>
      <c r="W12" s="6" t="s">
        <v>318</v>
      </c>
      <c r="X12" s="6">
        <f t="shared" si="1"/>
        <v>39</v>
      </c>
    </row>
    <row r="13">
      <c r="A13" s="6" t="s">
        <v>128</v>
      </c>
      <c r="B13" s="8">
        <v>42463.0</v>
      </c>
      <c r="C13" s="8">
        <v>42466.0</v>
      </c>
      <c r="D13" s="8">
        <v>42473.0</v>
      </c>
      <c r="E13" s="8">
        <v>42476.0</v>
      </c>
      <c r="F13" s="8">
        <v>42480.0</v>
      </c>
      <c r="G13" s="8">
        <v>42483.0</v>
      </c>
      <c r="H13" s="8">
        <v>42485.0</v>
      </c>
      <c r="I13" s="8">
        <v>42506.0</v>
      </c>
      <c r="J13" s="6" t="s">
        <v>132</v>
      </c>
      <c r="K13" s="6" t="s">
        <v>131</v>
      </c>
      <c r="L13" s="6" t="s">
        <v>359</v>
      </c>
      <c r="M13" s="6" t="s">
        <v>320</v>
      </c>
      <c r="N13" s="6">
        <v>10.0</v>
      </c>
      <c r="O13" s="6" t="s">
        <v>52</v>
      </c>
      <c r="P13" s="6">
        <v>96.0</v>
      </c>
      <c r="Q13" s="6">
        <v>101.2</v>
      </c>
      <c r="R13" s="6">
        <v>85.0</v>
      </c>
      <c r="S13" s="6">
        <v>1.0</v>
      </c>
      <c r="T13" s="6" t="s">
        <v>38</v>
      </c>
      <c r="U13" s="6">
        <v>6100000.0</v>
      </c>
      <c r="V13" s="6" t="s">
        <v>192</v>
      </c>
      <c r="W13" s="6" t="s">
        <v>318</v>
      </c>
      <c r="X13" s="6">
        <f t="shared" si="1"/>
        <v>40</v>
      </c>
    </row>
    <row r="14">
      <c r="A14" s="6" t="s">
        <v>134</v>
      </c>
      <c r="B14" s="8">
        <v>44772.0</v>
      </c>
      <c r="C14" s="8">
        <v>44775.0</v>
      </c>
      <c r="D14" s="8">
        <v>44783.0</v>
      </c>
      <c r="E14" s="8">
        <v>44786.0</v>
      </c>
      <c r="F14" s="8">
        <v>44790.0</v>
      </c>
      <c r="G14" s="8">
        <v>44793.0</v>
      </c>
      <c r="H14" s="8">
        <v>44795.0</v>
      </c>
      <c r="I14" s="8">
        <v>44816.0</v>
      </c>
      <c r="J14" s="6" t="s">
        <v>138</v>
      </c>
      <c r="K14" s="6" t="s">
        <v>137</v>
      </c>
      <c r="L14" s="6" t="s">
        <v>367</v>
      </c>
      <c r="M14" s="6" t="s">
        <v>323</v>
      </c>
      <c r="N14" s="6">
        <v>4.0</v>
      </c>
      <c r="O14" s="6" t="s">
        <v>52</v>
      </c>
      <c r="P14" s="6">
        <v>92.0</v>
      </c>
      <c r="Q14" s="6">
        <v>93.7</v>
      </c>
      <c r="R14" s="6">
        <v>82.0</v>
      </c>
      <c r="S14" s="6">
        <v>2.0</v>
      </c>
      <c r="T14" s="6" t="s">
        <v>74</v>
      </c>
      <c r="U14" s="6">
        <v>3500000.0</v>
      </c>
      <c r="V14" s="6" t="s">
        <v>321</v>
      </c>
      <c r="W14" s="6" t="s">
        <v>318</v>
      </c>
      <c r="X14" s="6">
        <f t="shared" si="1"/>
        <v>41</v>
      </c>
    </row>
    <row r="15">
      <c r="A15" s="6" t="s">
        <v>141</v>
      </c>
      <c r="B15" s="8">
        <v>45201.0</v>
      </c>
      <c r="C15" s="8">
        <v>45204.0</v>
      </c>
      <c r="D15" s="8">
        <v>45208.0</v>
      </c>
      <c r="E15" s="8">
        <v>45211.0</v>
      </c>
      <c r="F15" s="8">
        <v>45215.0</v>
      </c>
      <c r="G15" s="8">
        <v>45218.0</v>
      </c>
      <c r="H15" s="8">
        <v>45220.0</v>
      </c>
      <c r="I15" s="8">
        <v>45236.0</v>
      </c>
      <c r="J15" s="6" t="s">
        <v>145</v>
      </c>
      <c r="K15" s="6" t="s">
        <v>144</v>
      </c>
      <c r="L15" s="6" t="s">
        <v>375</v>
      </c>
      <c r="M15" s="6" t="s">
        <v>340</v>
      </c>
      <c r="N15" s="6">
        <v>2.0</v>
      </c>
      <c r="O15" s="6" t="s">
        <v>133</v>
      </c>
      <c r="P15" s="6">
        <v>78.0</v>
      </c>
      <c r="Q15" s="6">
        <v>88.5</v>
      </c>
      <c r="R15" s="6">
        <v>79.0</v>
      </c>
      <c r="S15" s="6">
        <v>2.0</v>
      </c>
      <c r="T15" s="6" t="s">
        <v>101</v>
      </c>
      <c r="U15" s="6">
        <v>2300000.0</v>
      </c>
      <c r="V15" s="6" t="s">
        <v>324</v>
      </c>
      <c r="W15" s="6" t="s">
        <v>318</v>
      </c>
      <c r="X15" s="6">
        <f t="shared" si="1"/>
        <v>42</v>
      </c>
    </row>
    <row r="16">
      <c r="A16" s="6" t="s">
        <v>146</v>
      </c>
      <c r="B16" s="8">
        <v>43527.0</v>
      </c>
      <c r="C16" s="8">
        <v>43530.0</v>
      </c>
      <c r="D16" s="8">
        <v>43535.0</v>
      </c>
      <c r="E16" s="8">
        <v>43538.0</v>
      </c>
      <c r="F16" s="8">
        <v>43542.0</v>
      </c>
      <c r="G16" s="8">
        <v>43545.0</v>
      </c>
      <c r="H16" s="8">
        <v>43547.0</v>
      </c>
      <c r="I16" s="8">
        <v>43563.0</v>
      </c>
      <c r="J16" s="6" t="s">
        <v>36</v>
      </c>
      <c r="K16" s="6" t="s">
        <v>149</v>
      </c>
      <c r="L16" s="6" t="s">
        <v>384</v>
      </c>
      <c r="M16" s="6" t="s">
        <v>317</v>
      </c>
      <c r="N16" s="6">
        <v>7.0</v>
      </c>
      <c r="O16" s="6" t="s">
        <v>52</v>
      </c>
      <c r="P16" s="6">
        <v>92.0</v>
      </c>
      <c r="Q16" s="6">
        <v>100.9</v>
      </c>
      <c r="R16" s="6">
        <v>91.0</v>
      </c>
      <c r="S16" s="6">
        <v>2.0</v>
      </c>
      <c r="T16" s="6" t="s">
        <v>38</v>
      </c>
      <c r="U16" s="6">
        <v>7200000.0</v>
      </c>
      <c r="V16" s="6" t="s">
        <v>330</v>
      </c>
      <c r="W16" s="6" t="s">
        <v>318</v>
      </c>
      <c r="X16" s="6">
        <f t="shared" si="1"/>
        <v>43</v>
      </c>
    </row>
    <row r="17">
      <c r="A17" s="6" t="s">
        <v>152</v>
      </c>
      <c r="B17" s="8">
        <v>43358.0</v>
      </c>
      <c r="C17" s="8">
        <v>43361.0</v>
      </c>
      <c r="D17" s="8">
        <v>43367.0</v>
      </c>
      <c r="E17" s="8">
        <v>43370.0</v>
      </c>
      <c r="F17" s="8">
        <v>43374.0</v>
      </c>
      <c r="G17" s="8">
        <v>43377.0</v>
      </c>
      <c r="H17" s="8">
        <v>43379.0</v>
      </c>
      <c r="I17" s="8">
        <v>43395.0</v>
      </c>
      <c r="J17" s="6" t="s">
        <v>82</v>
      </c>
      <c r="K17" s="6" t="s">
        <v>155</v>
      </c>
      <c r="L17" s="6" t="s">
        <v>394</v>
      </c>
      <c r="M17" s="6" t="s">
        <v>320</v>
      </c>
      <c r="N17" s="6">
        <v>8.0</v>
      </c>
      <c r="O17" s="6" t="s">
        <v>196</v>
      </c>
      <c r="P17" s="6">
        <v>88.0</v>
      </c>
      <c r="Q17" s="6">
        <v>96.1</v>
      </c>
      <c r="R17" s="6">
        <v>80.0</v>
      </c>
      <c r="S17" s="6">
        <v>1.0</v>
      </c>
      <c r="T17" s="6" t="s">
        <v>38</v>
      </c>
      <c r="U17" s="6">
        <v>5600000.0</v>
      </c>
      <c r="V17" s="6" t="s">
        <v>192</v>
      </c>
      <c r="W17" s="6" t="s">
        <v>318</v>
      </c>
      <c r="X17" s="6">
        <f t="shared" si="1"/>
        <v>44</v>
      </c>
    </row>
    <row r="18">
      <c r="A18" s="6" t="s">
        <v>156</v>
      </c>
      <c r="B18" s="8">
        <v>44995.0</v>
      </c>
      <c r="C18" s="8">
        <v>44998.0</v>
      </c>
      <c r="D18" s="8">
        <v>45005.0</v>
      </c>
      <c r="E18" s="8">
        <v>45008.0</v>
      </c>
      <c r="F18" s="8">
        <v>45012.0</v>
      </c>
      <c r="G18" s="8">
        <v>45015.0</v>
      </c>
      <c r="H18" s="8">
        <v>45017.0</v>
      </c>
      <c r="I18" s="8">
        <v>45033.0</v>
      </c>
      <c r="J18" s="6" t="s">
        <v>72</v>
      </c>
      <c r="K18" s="6" t="s">
        <v>159</v>
      </c>
      <c r="L18" s="6" t="s">
        <v>401</v>
      </c>
      <c r="M18" s="6" t="s">
        <v>402</v>
      </c>
      <c r="N18" s="6">
        <v>3.0</v>
      </c>
      <c r="O18" s="6" t="s">
        <v>133</v>
      </c>
      <c r="P18" s="6">
        <v>84.0</v>
      </c>
      <c r="Q18" s="6">
        <v>84.8</v>
      </c>
      <c r="R18" s="6">
        <v>72.0</v>
      </c>
      <c r="S18" s="6">
        <v>2.0</v>
      </c>
      <c r="T18" s="6" t="s">
        <v>74</v>
      </c>
      <c r="U18" s="6">
        <v>2800000.0</v>
      </c>
      <c r="V18" s="6" t="s">
        <v>321</v>
      </c>
      <c r="W18" s="6" t="s">
        <v>318</v>
      </c>
      <c r="X18" s="6">
        <f t="shared" si="1"/>
        <v>35</v>
      </c>
    </row>
    <row r="19">
      <c r="A19" s="6" t="s">
        <v>161</v>
      </c>
      <c r="B19" s="8">
        <v>41984.0</v>
      </c>
      <c r="C19" s="8">
        <v>41987.0</v>
      </c>
      <c r="D19" s="8">
        <v>41995.0</v>
      </c>
      <c r="E19" s="8">
        <v>41998.0</v>
      </c>
      <c r="F19" s="8">
        <v>42002.0</v>
      </c>
      <c r="G19" s="8">
        <v>42005.0</v>
      </c>
      <c r="H19" s="8">
        <v>42007.0</v>
      </c>
      <c r="I19" s="8">
        <v>42023.0</v>
      </c>
      <c r="J19" s="6" t="s">
        <v>55</v>
      </c>
      <c r="K19" s="6" t="s">
        <v>164</v>
      </c>
      <c r="L19" s="6" t="s">
        <v>403</v>
      </c>
      <c r="M19" s="6" t="s">
        <v>320</v>
      </c>
      <c r="N19" s="6">
        <v>14.0</v>
      </c>
      <c r="O19" s="6" t="s">
        <v>213</v>
      </c>
      <c r="P19" s="6">
        <v>98.0</v>
      </c>
      <c r="Q19" s="6">
        <v>101.9</v>
      </c>
      <c r="R19" s="6">
        <v>89.0</v>
      </c>
      <c r="S19" s="6">
        <v>2.0</v>
      </c>
      <c r="T19" s="6" t="s">
        <v>38</v>
      </c>
      <c r="U19" s="6">
        <v>1.05E7</v>
      </c>
      <c r="V19" s="6" t="s">
        <v>324</v>
      </c>
      <c r="W19" s="6" t="s">
        <v>318</v>
      </c>
      <c r="X19" s="6">
        <f t="shared" si="1"/>
        <v>36</v>
      </c>
    </row>
    <row r="20">
      <c r="A20" s="6" t="s">
        <v>166</v>
      </c>
      <c r="B20" s="8">
        <v>44006.0</v>
      </c>
      <c r="C20" s="8">
        <v>44009.0</v>
      </c>
      <c r="D20" s="8">
        <v>44013.0</v>
      </c>
      <c r="E20" s="8">
        <v>44016.0</v>
      </c>
      <c r="F20" s="8">
        <v>44020.0</v>
      </c>
      <c r="G20" s="8">
        <v>44023.0</v>
      </c>
      <c r="H20" s="8">
        <v>44025.0</v>
      </c>
      <c r="I20" s="8">
        <v>44046.0</v>
      </c>
      <c r="J20" s="6" t="s">
        <v>125</v>
      </c>
      <c r="K20" s="6" t="s">
        <v>169</v>
      </c>
      <c r="L20" s="6" t="s">
        <v>404</v>
      </c>
      <c r="M20" s="6" t="s">
        <v>323</v>
      </c>
      <c r="N20" s="6">
        <v>5.0</v>
      </c>
      <c r="O20" s="6" t="s">
        <v>52</v>
      </c>
      <c r="P20" s="6">
        <v>84.0</v>
      </c>
      <c r="Q20" s="6">
        <v>94.7</v>
      </c>
      <c r="R20" s="6">
        <v>86.0</v>
      </c>
      <c r="S20" s="6">
        <v>2.0</v>
      </c>
      <c r="T20" s="6" t="s">
        <v>74</v>
      </c>
      <c r="U20" s="6">
        <v>4100000.0</v>
      </c>
      <c r="V20" s="6" t="s">
        <v>330</v>
      </c>
      <c r="W20" s="6" t="s">
        <v>318</v>
      </c>
      <c r="X20" s="6">
        <f t="shared" si="1"/>
        <v>37</v>
      </c>
    </row>
    <row r="21" ht="15.75" customHeight="1">
      <c r="A21" s="6" t="s">
        <v>171</v>
      </c>
      <c r="B21" s="8">
        <v>44334.0</v>
      </c>
      <c r="C21" s="8">
        <v>44337.0</v>
      </c>
      <c r="D21" s="8">
        <v>44342.0</v>
      </c>
      <c r="E21" s="8">
        <v>44345.0</v>
      </c>
      <c r="F21" s="8">
        <v>44349.0</v>
      </c>
      <c r="G21" s="8">
        <v>44352.0</v>
      </c>
      <c r="H21" s="8">
        <v>44354.0</v>
      </c>
      <c r="I21" s="8">
        <v>44375.0</v>
      </c>
      <c r="J21" s="6" t="s">
        <v>109</v>
      </c>
      <c r="K21" s="6" t="s">
        <v>174</v>
      </c>
      <c r="L21" s="6" t="s">
        <v>405</v>
      </c>
      <c r="M21" s="6" t="s">
        <v>402</v>
      </c>
      <c r="N21" s="6">
        <v>4.0</v>
      </c>
      <c r="O21" s="6" t="s">
        <v>52</v>
      </c>
      <c r="P21" s="6">
        <v>86.0</v>
      </c>
      <c r="Q21" s="6">
        <v>95.4</v>
      </c>
      <c r="R21" s="6">
        <v>80.0</v>
      </c>
      <c r="S21" s="6">
        <v>1.0</v>
      </c>
      <c r="T21" s="6" t="s">
        <v>38</v>
      </c>
      <c r="U21" s="6">
        <v>3700000.0</v>
      </c>
      <c r="V21" s="6" t="s">
        <v>192</v>
      </c>
      <c r="W21" s="6" t="s">
        <v>318</v>
      </c>
      <c r="X21" s="6">
        <f t="shared" si="1"/>
        <v>38</v>
      </c>
    </row>
    <row r="22" ht="15.75" customHeight="1">
      <c r="A22" s="6" t="s">
        <v>176</v>
      </c>
      <c r="B22" s="8">
        <v>43465.0</v>
      </c>
      <c r="C22" s="8">
        <v>43468.0</v>
      </c>
      <c r="D22" s="8">
        <v>43474.0</v>
      </c>
      <c r="E22" s="8">
        <v>43477.0</v>
      </c>
      <c r="F22" s="8">
        <v>43481.0</v>
      </c>
      <c r="G22" s="8">
        <v>43484.0</v>
      </c>
      <c r="H22" s="8">
        <v>43486.0</v>
      </c>
      <c r="I22" s="8">
        <v>43507.0</v>
      </c>
      <c r="J22" s="6" t="s">
        <v>100</v>
      </c>
      <c r="K22" s="6" t="s">
        <v>179</v>
      </c>
      <c r="L22" s="6" t="s">
        <v>408</v>
      </c>
      <c r="M22" s="6" t="s">
        <v>340</v>
      </c>
      <c r="N22" s="6">
        <v>7.0</v>
      </c>
      <c r="O22" s="6" t="s">
        <v>196</v>
      </c>
      <c r="P22" s="6">
        <v>88.0</v>
      </c>
      <c r="Q22" s="6">
        <v>89.9</v>
      </c>
      <c r="R22" s="6">
        <v>77.0</v>
      </c>
      <c r="S22" s="6">
        <v>2.0</v>
      </c>
      <c r="T22" s="6" t="s">
        <v>74</v>
      </c>
      <c r="U22" s="6">
        <v>4500000.0</v>
      </c>
      <c r="V22" s="6" t="s">
        <v>321</v>
      </c>
      <c r="W22" s="6" t="s">
        <v>318</v>
      </c>
      <c r="X22" s="6">
        <f t="shared" si="1"/>
        <v>39</v>
      </c>
    </row>
    <row r="23" ht="15.75" customHeight="1">
      <c r="A23" s="6" t="s">
        <v>181</v>
      </c>
      <c r="B23" s="8">
        <v>42757.0</v>
      </c>
      <c r="C23" s="8">
        <v>42760.0</v>
      </c>
      <c r="D23" s="8">
        <v>42767.0</v>
      </c>
      <c r="E23" s="8">
        <v>42770.0</v>
      </c>
      <c r="F23" s="8">
        <v>42774.0</v>
      </c>
      <c r="G23" s="8">
        <v>42777.0</v>
      </c>
      <c r="H23" s="8">
        <v>42779.0</v>
      </c>
      <c r="I23" s="8">
        <v>42800.0</v>
      </c>
      <c r="J23" s="6" t="s">
        <v>92</v>
      </c>
      <c r="K23" s="6" t="s">
        <v>184</v>
      </c>
      <c r="L23" s="6" t="s">
        <v>411</v>
      </c>
      <c r="M23" s="6" t="s">
        <v>317</v>
      </c>
      <c r="N23" s="6">
        <v>8.0</v>
      </c>
      <c r="O23" s="6" t="s">
        <v>213</v>
      </c>
      <c r="P23" s="6">
        <v>96.0</v>
      </c>
      <c r="Q23" s="6">
        <v>99.5</v>
      </c>
      <c r="R23" s="6">
        <v>89.0</v>
      </c>
      <c r="S23" s="6">
        <v>2.0</v>
      </c>
      <c r="T23" s="6" t="s">
        <v>38</v>
      </c>
      <c r="U23" s="6">
        <v>5900000.0</v>
      </c>
      <c r="V23" s="6" t="s">
        <v>324</v>
      </c>
      <c r="W23" s="6" t="s">
        <v>318</v>
      </c>
      <c r="X23" s="6">
        <f t="shared" si="1"/>
        <v>40</v>
      </c>
    </row>
    <row r="24" ht="15.75" customHeight="1">
      <c r="A24" s="6" t="s">
        <v>186</v>
      </c>
      <c r="B24" s="8">
        <v>45388.0</v>
      </c>
      <c r="C24" s="8">
        <v>45391.0</v>
      </c>
      <c r="D24" s="8">
        <v>45399.0</v>
      </c>
      <c r="E24" s="8">
        <v>45402.0</v>
      </c>
      <c r="F24" s="8">
        <v>45406.0</v>
      </c>
      <c r="G24" s="8">
        <v>45409.0</v>
      </c>
      <c r="H24" s="8">
        <v>45411.0</v>
      </c>
      <c r="I24" s="8">
        <v>45432.0</v>
      </c>
      <c r="J24" s="6" t="s">
        <v>132</v>
      </c>
      <c r="K24" s="6" t="s">
        <v>190</v>
      </c>
      <c r="L24" s="6" t="s">
        <v>412</v>
      </c>
      <c r="M24" s="6" t="s">
        <v>340</v>
      </c>
      <c r="N24" s="6">
        <v>2.0</v>
      </c>
      <c r="O24" s="6" t="s">
        <v>133</v>
      </c>
      <c r="P24" s="6">
        <v>86.0</v>
      </c>
      <c r="Q24" s="6">
        <v>87.5</v>
      </c>
      <c r="R24" s="6">
        <v>81.0</v>
      </c>
      <c r="S24" s="6">
        <v>2.0</v>
      </c>
      <c r="T24" s="6" t="s">
        <v>101</v>
      </c>
      <c r="U24" s="6">
        <v>2200000.0</v>
      </c>
      <c r="V24" s="6" t="s">
        <v>330</v>
      </c>
      <c r="W24" s="6" t="s">
        <v>318</v>
      </c>
      <c r="X24" s="6">
        <f t="shared" si="1"/>
        <v>41</v>
      </c>
    </row>
    <row r="25" ht="15.75" customHeight="1">
      <c r="A25" s="6" t="s">
        <v>191</v>
      </c>
      <c r="B25" s="8">
        <v>42576.0</v>
      </c>
      <c r="C25" s="8">
        <v>42579.0</v>
      </c>
      <c r="D25" s="8">
        <v>42583.0</v>
      </c>
      <c r="E25" s="8">
        <v>42586.0</v>
      </c>
      <c r="F25" s="8">
        <v>42590.0</v>
      </c>
      <c r="G25" s="8">
        <v>42593.0</v>
      </c>
      <c r="H25" s="8">
        <v>42595.0</v>
      </c>
      <c r="I25" s="8">
        <v>42611.0</v>
      </c>
      <c r="J25" s="6" t="s">
        <v>145</v>
      </c>
      <c r="K25" s="6" t="s">
        <v>194</v>
      </c>
      <c r="L25" s="6" t="s">
        <v>417</v>
      </c>
      <c r="M25" s="6" t="s">
        <v>320</v>
      </c>
      <c r="N25" s="6">
        <v>11.0</v>
      </c>
      <c r="O25" s="6" t="s">
        <v>52</v>
      </c>
      <c r="P25" s="6">
        <v>90.0</v>
      </c>
      <c r="Q25" s="6">
        <v>100.2</v>
      </c>
      <c r="R25" s="6">
        <v>85.0</v>
      </c>
      <c r="S25" s="6">
        <v>1.0</v>
      </c>
      <c r="T25" s="6" t="s">
        <v>38</v>
      </c>
      <c r="U25" s="6">
        <v>6800000.0</v>
      </c>
      <c r="V25" s="6" t="s">
        <v>192</v>
      </c>
      <c r="W25" s="6" t="s">
        <v>318</v>
      </c>
      <c r="X25" s="6">
        <f t="shared" si="1"/>
        <v>42</v>
      </c>
    </row>
    <row r="26" ht="15.75" customHeight="1">
      <c r="A26" s="6" t="s">
        <v>198</v>
      </c>
      <c r="B26" s="8">
        <v>44549.0</v>
      </c>
      <c r="C26" s="8">
        <v>44552.0</v>
      </c>
      <c r="D26" s="8">
        <v>44557.0</v>
      </c>
      <c r="E26" s="8">
        <v>44560.0</v>
      </c>
      <c r="F26" s="8">
        <v>44564.0</v>
      </c>
      <c r="G26" s="8">
        <v>44567.0</v>
      </c>
      <c r="H26" s="8">
        <v>44569.0</v>
      </c>
      <c r="I26" s="8">
        <v>44585.0</v>
      </c>
      <c r="J26" s="6" t="s">
        <v>36</v>
      </c>
      <c r="K26" s="6" t="s">
        <v>201</v>
      </c>
      <c r="L26" s="6" t="s">
        <v>418</v>
      </c>
      <c r="M26" s="6" t="s">
        <v>323</v>
      </c>
      <c r="N26" s="6">
        <v>3.0</v>
      </c>
      <c r="O26" s="6" t="s">
        <v>196</v>
      </c>
      <c r="P26" s="6">
        <v>86.0</v>
      </c>
      <c r="Q26" s="6">
        <v>91.3</v>
      </c>
      <c r="R26" s="6">
        <v>77.0</v>
      </c>
      <c r="S26" s="6">
        <v>2.0</v>
      </c>
      <c r="T26" s="6" t="s">
        <v>74</v>
      </c>
      <c r="U26" s="6">
        <v>3200000.0</v>
      </c>
      <c r="V26" s="6" t="s">
        <v>321</v>
      </c>
      <c r="W26" s="6" t="s">
        <v>318</v>
      </c>
      <c r="X26" s="6">
        <f t="shared" si="1"/>
        <v>43</v>
      </c>
    </row>
    <row r="27" ht="15.75" customHeight="1">
      <c r="A27" s="6" t="s">
        <v>204</v>
      </c>
      <c r="B27" s="8">
        <v>44135.0</v>
      </c>
      <c r="C27" s="8">
        <v>44138.0</v>
      </c>
      <c r="D27" s="8">
        <v>44144.0</v>
      </c>
      <c r="E27" s="8">
        <v>44147.0</v>
      </c>
      <c r="F27" s="8">
        <v>44151.0</v>
      </c>
      <c r="G27" s="8">
        <v>44154.0</v>
      </c>
      <c r="H27" s="8">
        <v>44156.0</v>
      </c>
      <c r="I27" s="8">
        <v>44172.0</v>
      </c>
      <c r="J27" s="6" t="s">
        <v>82</v>
      </c>
      <c r="K27" s="6" t="s">
        <v>207</v>
      </c>
      <c r="L27" s="6" t="s">
        <v>421</v>
      </c>
      <c r="M27" s="6" t="s">
        <v>317</v>
      </c>
      <c r="N27" s="6">
        <v>5.0</v>
      </c>
      <c r="O27" s="6" t="s">
        <v>52</v>
      </c>
      <c r="P27" s="6">
        <v>88.0</v>
      </c>
      <c r="Q27" s="6">
        <v>95.8</v>
      </c>
      <c r="R27" s="6">
        <v>84.0</v>
      </c>
      <c r="S27" s="6">
        <v>2.0</v>
      </c>
      <c r="T27" s="6" t="s">
        <v>38</v>
      </c>
      <c r="U27" s="6">
        <v>4000000.0</v>
      </c>
      <c r="V27" s="6" t="s">
        <v>324</v>
      </c>
      <c r="W27" s="6" t="s">
        <v>318</v>
      </c>
      <c r="X27" s="6">
        <f t="shared" si="1"/>
        <v>44</v>
      </c>
    </row>
    <row r="28" ht="15.75" customHeight="1">
      <c r="A28" s="6" t="s">
        <v>208</v>
      </c>
      <c r="B28" s="8">
        <v>42860.0</v>
      </c>
      <c r="C28" s="8">
        <v>42863.0</v>
      </c>
      <c r="D28" s="8">
        <v>42870.0</v>
      </c>
      <c r="E28" s="8">
        <v>42873.0</v>
      </c>
      <c r="F28" s="8">
        <v>42877.0</v>
      </c>
      <c r="G28" s="8">
        <v>42880.0</v>
      </c>
      <c r="H28" s="8">
        <v>42882.0</v>
      </c>
      <c r="I28" s="8">
        <v>42898.0</v>
      </c>
      <c r="J28" s="6" t="s">
        <v>72</v>
      </c>
      <c r="K28" s="6" t="s">
        <v>212</v>
      </c>
      <c r="L28" s="6" t="s">
        <v>424</v>
      </c>
      <c r="M28" s="6" t="s">
        <v>320</v>
      </c>
      <c r="N28" s="6">
        <v>12.0</v>
      </c>
      <c r="O28" s="6" t="s">
        <v>213</v>
      </c>
      <c r="P28" s="6">
        <v>96.0</v>
      </c>
      <c r="Q28" s="6">
        <v>98.9</v>
      </c>
      <c r="R28" s="6">
        <v>86.0</v>
      </c>
      <c r="S28" s="6">
        <v>2.0</v>
      </c>
      <c r="T28" s="6" t="s">
        <v>38</v>
      </c>
      <c r="U28" s="6">
        <v>7500000.0</v>
      </c>
      <c r="V28" s="6" t="s">
        <v>330</v>
      </c>
      <c r="W28" s="6" t="s">
        <v>318</v>
      </c>
      <c r="X28" s="6">
        <f t="shared" si="1"/>
        <v>35</v>
      </c>
    </row>
    <row r="29" ht="15.75" customHeight="1">
      <c r="A29" s="6" t="s">
        <v>214</v>
      </c>
      <c r="B29" s="8">
        <v>44917.0</v>
      </c>
      <c r="C29" s="8">
        <v>44920.0</v>
      </c>
      <c r="D29" s="8">
        <v>44928.0</v>
      </c>
      <c r="E29" s="8">
        <v>44931.0</v>
      </c>
      <c r="F29" s="8">
        <v>44935.0</v>
      </c>
      <c r="G29" s="8">
        <v>44938.0</v>
      </c>
      <c r="H29" s="8">
        <v>44940.0</v>
      </c>
      <c r="I29" s="8">
        <v>44956.0</v>
      </c>
      <c r="J29" s="6" t="s">
        <v>55</v>
      </c>
      <c r="K29" s="6" t="s">
        <v>217</v>
      </c>
      <c r="L29" s="6" t="s">
        <v>425</v>
      </c>
      <c r="M29" s="6" t="s">
        <v>323</v>
      </c>
      <c r="N29" s="6">
        <v>4.0</v>
      </c>
      <c r="O29" s="6" t="s">
        <v>52</v>
      </c>
      <c r="P29" s="6">
        <v>92.0</v>
      </c>
      <c r="Q29" s="6">
        <v>94.0</v>
      </c>
      <c r="R29" s="6">
        <v>80.0</v>
      </c>
      <c r="S29" s="6">
        <v>1.0</v>
      </c>
      <c r="T29" s="6" t="s">
        <v>74</v>
      </c>
      <c r="U29" s="6">
        <v>3400000.0</v>
      </c>
      <c r="V29" s="6" t="s">
        <v>192</v>
      </c>
      <c r="W29" s="6" t="s">
        <v>318</v>
      </c>
      <c r="X29" s="6">
        <f t="shared" si="1"/>
        <v>36</v>
      </c>
    </row>
    <row r="30" ht="15.75" customHeight="1">
      <c r="A30" s="6" t="s">
        <v>219</v>
      </c>
      <c r="B30" s="8">
        <v>45266.0</v>
      </c>
      <c r="C30" s="8">
        <v>45269.0</v>
      </c>
      <c r="D30" s="8">
        <v>45273.0</v>
      </c>
      <c r="E30" s="8">
        <v>45276.0</v>
      </c>
      <c r="F30" s="8">
        <v>45280.0</v>
      </c>
      <c r="G30" s="8">
        <v>45283.0</v>
      </c>
      <c r="H30" s="8">
        <v>45285.0</v>
      </c>
      <c r="I30" s="8">
        <v>45306.0</v>
      </c>
      <c r="J30" s="6" t="s">
        <v>109</v>
      </c>
      <c r="K30" s="6" t="s">
        <v>222</v>
      </c>
      <c r="L30" s="6" t="s">
        <v>430</v>
      </c>
      <c r="M30" s="6" t="s">
        <v>402</v>
      </c>
      <c r="N30" s="6">
        <v>3.0</v>
      </c>
      <c r="O30" s="6" t="s">
        <v>52</v>
      </c>
      <c r="P30" s="6">
        <v>78.0</v>
      </c>
      <c r="Q30" s="6">
        <v>90.6</v>
      </c>
      <c r="R30" s="6">
        <v>77.0</v>
      </c>
      <c r="S30" s="6">
        <v>2.0</v>
      </c>
      <c r="T30" s="6" t="s">
        <v>101</v>
      </c>
      <c r="U30" s="6">
        <v>2900000.0</v>
      </c>
      <c r="V30" s="6" t="s">
        <v>321</v>
      </c>
      <c r="W30" s="6" t="s">
        <v>318</v>
      </c>
      <c r="X30" s="6">
        <f t="shared" si="1"/>
        <v>37</v>
      </c>
    </row>
    <row r="31" ht="15.75" customHeight="1">
      <c r="A31" s="6" t="s">
        <v>224</v>
      </c>
      <c r="B31" s="8">
        <v>43655.0</v>
      </c>
      <c r="C31" s="8">
        <v>43658.0</v>
      </c>
      <c r="D31" s="8">
        <v>43663.0</v>
      </c>
      <c r="E31" s="8">
        <v>43666.0</v>
      </c>
      <c r="F31" s="8">
        <v>43670.0</v>
      </c>
      <c r="G31" s="8">
        <v>43673.0</v>
      </c>
      <c r="H31" s="8">
        <v>43675.0</v>
      </c>
      <c r="I31" s="8">
        <v>43696.0</v>
      </c>
      <c r="J31" s="6" t="s">
        <v>125</v>
      </c>
      <c r="K31" s="6" t="s">
        <v>227</v>
      </c>
      <c r="L31" s="6" t="s">
        <v>431</v>
      </c>
      <c r="M31" s="6" t="s">
        <v>323</v>
      </c>
      <c r="N31" s="6">
        <v>6.0</v>
      </c>
      <c r="O31" s="6" t="s">
        <v>52</v>
      </c>
      <c r="P31" s="6">
        <v>86.0</v>
      </c>
      <c r="Q31" s="6">
        <v>95.4</v>
      </c>
      <c r="R31" s="6">
        <v>84.0</v>
      </c>
      <c r="S31" s="6">
        <v>2.0</v>
      </c>
      <c r="T31" s="6" t="s">
        <v>38</v>
      </c>
      <c r="U31" s="6">
        <v>3900000.0</v>
      </c>
      <c r="V31" s="6" t="s">
        <v>324</v>
      </c>
      <c r="W31" s="6" t="s">
        <v>318</v>
      </c>
      <c r="X31" s="6">
        <f t="shared" si="1"/>
        <v>38</v>
      </c>
    </row>
    <row r="32" ht="15.75" customHeight="1">
      <c r="A32" s="6" t="s">
        <v>228</v>
      </c>
      <c r="B32" s="8">
        <v>43395.0</v>
      </c>
      <c r="C32" s="8">
        <v>43398.0</v>
      </c>
      <c r="D32" s="8">
        <v>43404.0</v>
      </c>
      <c r="E32" s="8">
        <v>43407.0</v>
      </c>
      <c r="F32" s="8">
        <v>43411.0</v>
      </c>
      <c r="G32" s="8">
        <v>43414.0</v>
      </c>
      <c r="H32" s="8">
        <v>43416.0</v>
      </c>
      <c r="I32" s="8">
        <v>43437.0</v>
      </c>
      <c r="J32" s="6" t="s">
        <v>138</v>
      </c>
      <c r="K32" s="6" t="s">
        <v>231</v>
      </c>
      <c r="L32" s="6" t="s">
        <v>432</v>
      </c>
      <c r="M32" s="6" t="s">
        <v>320</v>
      </c>
      <c r="N32" s="6">
        <v>8.0</v>
      </c>
      <c r="O32" s="6" t="s">
        <v>52</v>
      </c>
      <c r="P32" s="6">
        <v>88.0</v>
      </c>
      <c r="Q32" s="6">
        <v>96.5</v>
      </c>
      <c r="R32" s="6">
        <v>86.0</v>
      </c>
      <c r="S32" s="6">
        <v>2.0</v>
      </c>
      <c r="T32" s="6" t="s">
        <v>74</v>
      </c>
      <c r="U32" s="6">
        <v>5000000.0</v>
      </c>
      <c r="V32" s="6" t="s">
        <v>330</v>
      </c>
      <c r="W32" s="6" t="s">
        <v>318</v>
      </c>
      <c r="X32" s="6">
        <f t="shared" si="1"/>
        <v>39</v>
      </c>
    </row>
    <row r="33" ht="15.75" customHeight="1">
      <c r="A33" s="6" t="s">
        <v>233</v>
      </c>
      <c r="B33" s="8">
        <v>44710.0</v>
      </c>
      <c r="C33" s="8">
        <v>44713.0</v>
      </c>
      <c r="D33" s="8">
        <v>44720.0</v>
      </c>
      <c r="E33" s="8">
        <v>44723.0</v>
      </c>
      <c r="F33" s="8">
        <v>44727.0</v>
      </c>
      <c r="G33" s="8">
        <v>44730.0</v>
      </c>
      <c r="H33" s="8">
        <v>44732.0</v>
      </c>
      <c r="I33" s="8">
        <v>44753.0</v>
      </c>
      <c r="J33" s="6" t="s">
        <v>100</v>
      </c>
      <c r="K33" s="6" t="s">
        <v>236</v>
      </c>
      <c r="L33" s="6" t="s">
        <v>438</v>
      </c>
      <c r="M33" s="6" t="s">
        <v>340</v>
      </c>
      <c r="N33" s="6">
        <v>4.0</v>
      </c>
      <c r="O33" s="6" t="s">
        <v>196</v>
      </c>
      <c r="P33" s="6">
        <v>84.0</v>
      </c>
      <c r="Q33" s="6">
        <v>88.8</v>
      </c>
      <c r="R33" s="6">
        <v>75.0</v>
      </c>
      <c r="S33" s="6">
        <v>1.0</v>
      </c>
      <c r="T33" s="6" t="s">
        <v>74</v>
      </c>
      <c r="U33" s="6">
        <v>3300000.0</v>
      </c>
      <c r="V33" s="6" t="s">
        <v>192</v>
      </c>
      <c r="W33" s="6" t="s">
        <v>318</v>
      </c>
      <c r="X33" s="6">
        <f t="shared" si="1"/>
        <v>40</v>
      </c>
    </row>
    <row r="34" ht="15.75" customHeight="1">
      <c r="A34" s="6" t="s">
        <v>238</v>
      </c>
      <c r="B34" s="11">
        <v>44429.0</v>
      </c>
      <c r="C34" s="11">
        <v>44432.0</v>
      </c>
      <c r="D34" s="11">
        <v>44440.0</v>
      </c>
      <c r="E34" s="11">
        <v>44443.0</v>
      </c>
      <c r="F34" s="11">
        <v>44447.0</v>
      </c>
      <c r="G34" s="11">
        <v>44450.0</v>
      </c>
      <c r="H34" s="11">
        <v>44452.0</v>
      </c>
      <c r="I34" s="11">
        <v>44473.0</v>
      </c>
      <c r="J34" s="6" t="s">
        <v>145</v>
      </c>
      <c r="K34" s="6" t="s">
        <v>241</v>
      </c>
      <c r="L34" s="6" t="s">
        <v>439</v>
      </c>
      <c r="M34" s="6" t="s">
        <v>317</v>
      </c>
      <c r="N34" s="6">
        <v>5.0</v>
      </c>
      <c r="O34" s="6" t="s">
        <v>52</v>
      </c>
      <c r="P34" s="6">
        <v>92.0</v>
      </c>
      <c r="Q34" s="6">
        <v>95.0</v>
      </c>
      <c r="R34" s="6">
        <v>82.0</v>
      </c>
      <c r="S34" s="6">
        <v>2.0</v>
      </c>
      <c r="T34" s="6" t="s">
        <v>38</v>
      </c>
      <c r="U34" s="6">
        <v>3600000.0</v>
      </c>
      <c r="V34" s="6" t="s">
        <v>321</v>
      </c>
      <c r="W34" s="6" t="s">
        <v>318</v>
      </c>
      <c r="X34" s="6">
        <f t="shared" si="1"/>
        <v>41</v>
      </c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>
        <f t="shared" si="1"/>
        <v>42</v>
      </c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>
        <f t="shared" si="1"/>
        <v>43</v>
      </c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>
        <f t="shared" si="1"/>
        <v>44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X1"/>
    <mergeCell ref="A2:X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60.0"/>
    <col customWidth="1" min="4" max="4" width="18.0"/>
    <col customWidth="1" min="5" max="5" width="28.0"/>
    <col customWidth="1" min="6" max="6" width="20.0"/>
    <col customWidth="1" min="7" max="26" width="8.57"/>
  </cols>
  <sheetData>
    <row r="1" ht="30.0" customHeight="1">
      <c r="A1" s="1" t="s">
        <v>256</v>
      </c>
      <c r="B1" s="2"/>
      <c r="C1" s="2"/>
      <c r="D1" s="2"/>
      <c r="E1" s="2"/>
      <c r="F1" s="3"/>
    </row>
    <row r="2">
      <c r="A2" s="4" t="s">
        <v>257</v>
      </c>
      <c r="B2" s="5"/>
      <c r="C2" s="5"/>
      <c r="D2" s="5"/>
      <c r="E2" s="5"/>
      <c r="F2" s="5"/>
    </row>
    <row r="3">
      <c r="A3" s="6"/>
      <c r="B3" s="6"/>
      <c r="C3" s="6"/>
      <c r="D3" s="6"/>
      <c r="E3" s="6"/>
      <c r="F3" s="6"/>
    </row>
    <row r="4">
      <c r="A4" s="6" t="s">
        <v>258</v>
      </c>
      <c r="B4" s="6" t="s">
        <v>259</v>
      </c>
      <c r="C4" s="6" t="s">
        <v>260</v>
      </c>
      <c r="D4" s="6" t="s">
        <v>261</v>
      </c>
      <c r="E4" s="6" t="s">
        <v>262</v>
      </c>
      <c r="F4" s="6" t="s">
        <v>263</v>
      </c>
    </row>
    <row r="5">
      <c r="A5" s="6" t="s">
        <v>264</v>
      </c>
      <c r="B5" s="6" t="s">
        <v>117</v>
      </c>
      <c r="C5" s="6" t="s">
        <v>265</v>
      </c>
      <c r="D5" s="6" t="s">
        <v>266</v>
      </c>
      <c r="E5" s="6" t="s">
        <v>267</v>
      </c>
      <c r="F5" s="6" t="s">
        <v>268</v>
      </c>
    </row>
    <row r="6">
      <c r="A6" s="6" t="s">
        <v>269</v>
      </c>
      <c r="B6" s="6" t="s">
        <v>123</v>
      </c>
      <c r="C6" s="6" t="s">
        <v>270</v>
      </c>
      <c r="D6" s="6" t="s">
        <v>266</v>
      </c>
      <c r="E6" s="6" t="s">
        <v>271</v>
      </c>
      <c r="F6" s="6" t="s">
        <v>272</v>
      </c>
    </row>
    <row r="7">
      <c r="A7" s="6" t="s">
        <v>273</v>
      </c>
      <c r="B7" s="6" t="s">
        <v>26</v>
      </c>
      <c r="C7" s="6" t="s">
        <v>274</v>
      </c>
      <c r="D7" s="6" t="s">
        <v>275</v>
      </c>
      <c r="E7" s="6" t="s">
        <v>276</v>
      </c>
      <c r="F7" s="6" t="s">
        <v>277</v>
      </c>
    </row>
    <row r="8">
      <c r="A8" s="6" t="s">
        <v>278</v>
      </c>
      <c r="B8" s="6" t="s">
        <v>42</v>
      </c>
      <c r="C8" s="6" t="s">
        <v>279</v>
      </c>
      <c r="D8" s="6" t="s">
        <v>280</v>
      </c>
      <c r="E8" s="6" t="s">
        <v>281</v>
      </c>
      <c r="F8" s="6" t="s">
        <v>282</v>
      </c>
    </row>
    <row r="9">
      <c r="A9" s="6" t="s">
        <v>283</v>
      </c>
      <c r="B9" s="6" t="s">
        <v>40</v>
      </c>
      <c r="C9" s="6" t="s">
        <v>284</v>
      </c>
      <c r="D9" s="6" t="s">
        <v>280</v>
      </c>
      <c r="E9" s="6" t="s">
        <v>285</v>
      </c>
      <c r="F9" s="6" t="s">
        <v>277</v>
      </c>
    </row>
    <row r="10">
      <c r="A10" s="6" t="s">
        <v>286</v>
      </c>
      <c r="B10" s="6" t="s">
        <v>50</v>
      </c>
      <c r="C10" s="6" t="s">
        <v>287</v>
      </c>
      <c r="D10" s="6" t="s">
        <v>280</v>
      </c>
      <c r="E10" s="6" t="s">
        <v>288</v>
      </c>
      <c r="F10" s="6" t="s">
        <v>277</v>
      </c>
    </row>
    <row r="11">
      <c r="A11" s="6" t="s">
        <v>289</v>
      </c>
      <c r="B11" s="6" t="s">
        <v>16</v>
      </c>
      <c r="C11" s="6" t="s">
        <v>290</v>
      </c>
      <c r="D11" s="6" t="s">
        <v>291</v>
      </c>
      <c r="E11" s="6" t="s">
        <v>292</v>
      </c>
      <c r="F11" s="6" t="s">
        <v>293</v>
      </c>
    </row>
    <row r="12">
      <c r="A12" s="6" t="s">
        <v>294</v>
      </c>
      <c r="B12" s="6" t="s">
        <v>115</v>
      </c>
      <c r="C12" s="6" t="s">
        <v>295</v>
      </c>
      <c r="D12" s="6" t="s">
        <v>296</v>
      </c>
      <c r="E12" s="6" t="s">
        <v>297</v>
      </c>
      <c r="F12" s="6" t="s">
        <v>277</v>
      </c>
    </row>
    <row r="13">
      <c r="A13" s="6" t="s">
        <v>298</v>
      </c>
      <c r="B13" s="6" t="s">
        <v>66</v>
      </c>
      <c r="C13" s="6" t="s">
        <v>299</v>
      </c>
      <c r="D13" s="6" t="s">
        <v>266</v>
      </c>
      <c r="E13" s="6" t="s">
        <v>300</v>
      </c>
      <c r="F13" s="6" t="s">
        <v>293</v>
      </c>
    </row>
    <row r="14">
      <c r="A14" s="6" t="s">
        <v>301</v>
      </c>
      <c r="B14" s="6" t="s">
        <v>126</v>
      </c>
      <c r="C14" s="6" t="s">
        <v>302</v>
      </c>
      <c r="D14" s="6" t="s">
        <v>266</v>
      </c>
      <c r="E14" s="6" t="s">
        <v>303</v>
      </c>
      <c r="F14" s="6" t="s">
        <v>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3" width="65.0"/>
    <col customWidth="1" min="4" max="5" width="18.0"/>
    <col customWidth="1" min="6" max="26" width="8.57"/>
  </cols>
  <sheetData>
    <row r="1" ht="30.0" customHeight="1">
      <c r="A1" s="1" t="s">
        <v>326</v>
      </c>
      <c r="B1" s="2"/>
      <c r="C1" s="2"/>
      <c r="D1" s="2"/>
      <c r="E1" s="3"/>
    </row>
    <row r="2">
      <c r="A2" s="4" t="s">
        <v>329</v>
      </c>
      <c r="B2" s="5"/>
      <c r="C2" s="5"/>
      <c r="D2" s="5"/>
      <c r="E2" s="5"/>
    </row>
    <row r="3">
      <c r="A3" s="6"/>
      <c r="B3" s="6"/>
      <c r="C3" s="6"/>
      <c r="D3" s="6"/>
      <c r="E3" s="6"/>
    </row>
    <row r="4">
      <c r="A4" s="6" t="s">
        <v>332</v>
      </c>
      <c r="B4" s="15" t="s">
        <v>333</v>
      </c>
      <c r="C4" s="6" t="s">
        <v>334</v>
      </c>
      <c r="D4" s="6"/>
      <c r="E4" s="6"/>
    </row>
    <row r="5">
      <c r="A5" s="6" t="s">
        <v>335</v>
      </c>
      <c r="B5" s="15">
        <f>AVERAGE(BASE_CONSOLIDADA!AT5:AT34)</f>
        <v>49.10390144</v>
      </c>
      <c r="C5" s="6" t="s">
        <v>337</v>
      </c>
      <c r="D5" s="6"/>
      <c r="E5" s="6"/>
    </row>
    <row r="6">
      <c r="A6" s="6" t="s">
        <v>338</v>
      </c>
      <c r="B6" s="15">
        <f>AVERAGE(BASE_CONSOLIDADA!AW5:AW34)</f>
        <v>0.6666666667</v>
      </c>
      <c r="C6" s="6" t="s">
        <v>341</v>
      </c>
      <c r="D6" s="6"/>
      <c r="E6" s="6"/>
    </row>
    <row r="7">
      <c r="A7" s="6" t="s">
        <v>342</v>
      </c>
      <c r="B7" s="15">
        <f>CORREL(BASE_CONSOLIDADA!X5:X34,BASE_CONSOLIDADA!AT5:AT34)</f>
        <v>0.6302479326</v>
      </c>
      <c r="C7" s="6" t="s">
        <v>347</v>
      </c>
      <c r="D7" s="6"/>
      <c r="E7" s="6"/>
    </row>
    <row r="8">
      <c r="A8" s="6" t="s">
        <v>350</v>
      </c>
      <c r="B8" s="15">
        <f>CORREL(BASE_CONSOLIDADA!Z5:Z34,BASE_CONSOLIDADA!AT5:AT34)</f>
        <v>0.5967228074</v>
      </c>
      <c r="C8" s="6" t="s">
        <v>351</v>
      </c>
      <c r="D8" s="6"/>
      <c r="E8" s="6"/>
    </row>
    <row r="9">
      <c r="A9" s="6" t="s">
        <v>352</v>
      </c>
      <c r="B9" s="15">
        <f>CORREL(BASE_CONSOLIDADA!Y5:Y34,BASE_CONSOLIDADA!AT5:AT34)</f>
        <v>0.6447373248</v>
      </c>
      <c r="C9" s="6" t="s">
        <v>354</v>
      </c>
      <c r="D9" s="6"/>
      <c r="E9" s="6"/>
    </row>
    <row r="10">
      <c r="A10" s="6" t="s">
        <v>355</v>
      </c>
      <c r="B10" s="15">
        <f>CORREL(BASE_CONSOLIDADA!AC5:AC34,BASE_CONSOLIDADA!AW5:AW34)</f>
        <v>0.1453051291</v>
      </c>
      <c r="C10" s="6" t="s">
        <v>363</v>
      </c>
      <c r="D10" s="6"/>
      <c r="E10" s="6"/>
    </row>
    <row r="11">
      <c r="A11" s="6" t="s">
        <v>366</v>
      </c>
      <c r="B11" s="15">
        <f>AVERAGEIF(BASE_CONSOLIDADA!P5:P34,"ACTIVO",BASE_CONSOLIDADA!AT5:AT34)</f>
        <v>71.53347023</v>
      </c>
      <c r="C11" s="6" t="s">
        <v>368</v>
      </c>
      <c r="D11" s="6"/>
      <c r="E11" s="6"/>
    </row>
    <row r="12">
      <c r="A12" s="6" t="s">
        <v>369</v>
      </c>
      <c r="B12" s="6">
        <f>AVERAGEIF(BASE_CONSOLIDADA!P5:P34,"RETIRADO",BASE_CONSOLIDADA!AT5:AT34)</f>
        <v>37.88911704</v>
      </c>
      <c r="C12" s="6" t="s">
        <v>376</v>
      </c>
      <c r="D12" s="6"/>
      <c r="E12" s="6"/>
    </row>
    <row r="13">
      <c r="A13" s="6"/>
      <c r="B13" s="6"/>
      <c r="C13" s="6"/>
      <c r="D13" s="6"/>
      <c r="E13" s="6"/>
    </row>
    <row r="14">
      <c r="A14" s="6" t="s">
        <v>379</v>
      </c>
      <c r="B14" s="6" t="s">
        <v>380</v>
      </c>
      <c r="C14" s="6" t="s">
        <v>381</v>
      </c>
      <c r="D14" s="6" t="s">
        <v>383</v>
      </c>
      <c r="E14" s="6" t="s">
        <v>387</v>
      </c>
    </row>
    <row r="15">
      <c r="A15" s="6" t="s">
        <v>145</v>
      </c>
      <c r="B15" s="6">
        <f>COUNTIF(BASE_CONSOLIDADA!J5:J34,A12)</f>
        <v>0</v>
      </c>
      <c r="C15" s="10" t="str">
        <f>AVERAGEIF(BASE_CONSOLIDADA!J5:J34,A12,BASE_CONSOLIDADA!AT5:AT34)</f>
        <v>#DIV/0!</v>
      </c>
      <c r="D15" s="20" t="str">
        <f>AVERAGEIF(BASE_CONSOLIDADA!J5:J34,A12,BASE_CONSOLIDADA!AW5:AW34)</f>
        <v>#DIV/0!</v>
      </c>
      <c r="E15" s="6">
        <f>COUNTIFS(BASE_CONSOLIDADA!J5:J34,A12,BASE_CONSOLIDADA!AX5:AX34,"ALTO")</f>
        <v>0</v>
      </c>
    </row>
    <row r="16">
      <c r="A16" s="6" t="s">
        <v>72</v>
      </c>
      <c r="B16" s="6">
        <f>COUNTIF(BASE_CONSOLIDADA!J5:J34,A13)</f>
        <v>0</v>
      </c>
      <c r="C16" s="10" t="str">
        <f>AVERAGEIF(BASE_CONSOLIDADA!J5:J34,A13,BASE_CONSOLIDADA!AT5:AT34)</f>
        <v>#DIV/0!</v>
      </c>
      <c r="D16" s="20" t="str">
        <f>AVERAGEIF(BASE_CONSOLIDADA!J5:J34,A13,BASE_CONSOLIDADA!AW5:AW34)</f>
        <v>#DIV/0!</v>
      </c>
      <c r="E16" s="6">
        <f>COUNTIFS(BASE_CONSOLIDADA!J5:J34,A13,BASE_CONSOLIDADA!AX5:AX34,"ALTO")</f>
        <v>0</v>
      </c>
    </row>
    <row r="17">
      <c r="A17" s="6" t="s">
        <v>138</v>
      </c>
      <c r="B17" s="6">
        <f>COUNTIF(BASE_CONSOLIDADA!J5:J34,A14)</f>
        <v>0</v>
      </c>
      <c r="C17" s="10" t="str">
        <f>AVERAGEIF(BASE_CONSOLIDADA!J5:J34,A14,BASE_CONSOLIDADA!AT5:AT34)</f>
        <v>#DIV/0!</v>
      </c>
      <c r="D17" s="20" t="str">
        <f>AVERAGEIF(BASE_CONSOLIDADA!J5:J34,A14,BASE_CONSOLIDADA!AW5:AW34)</f>
        <v>#DIV/0!</v>
      </c>
      <c r="E17" s="6">
        <f>COUNTIFS(BASE_CONSOLIDADA!J5:J34,A14,BASE_CONSOLIDADA!AX5:AX34,"ALTO")</f>
        <v>0</v>
      </c>
    </row>
    <row r="18">
      <c r="A18" s="6" t="s">
        <v>132</v>
      </c>
      <c r="B18" s="6">
        <f>COUNTIF(BASE_CONSOLIDADA!J5:J34,A15)</f>
        <v>3</v>
      </c>
      <c r="C18" s="10">
        <f>AVERAGEIF(BASE_CONSOLIDADA!J5:J34,A15,BASE_CONSOLIDADA!AT5:AT34)</f>
        <v>65.19370294</v>
      </c>
      <c r="D18" s="20">
        <f>AVERAGEIF(BASE_CONSOLIDADA!J5:J34,A15,BASE_CONSOLIDADA!AW5:AW34)</f>
        <v>0.3333333333</v>
      </c>
      <c r="E18" s="6">
        <f>COUNTIFS(BASE_CONSOLIDADA!J5:J34,A15,BASE_CONSOLIDADA!AX5:AX34,"ALTO")</f>
        <v>3</v>
      </c>
    </row>
    <row r="19">
      <c r="A19" s="6" t="s">
        <v>55</v>
      </c>
      <c r="B19" s="6">
        <f>COUNTIF(BASE_CONSOLIDADA!J5:J34,A16)</f>
        <v>3</v>
      </c>
      <c r="C19" s="10">
        <f>AVERAGEIF(BASE_CONSOLIDADA!J5:J34,A16,BASE_CONSOLIDADA!AT5:AT34)</f>
        <v>55.3155373</v>
      </c>
      <c r="D19" s="20">
        <f>AVERAGEIF(BASE_CONSOLIDADA!J5:J34,A16,BASE_CONSOLIDADA!AW5:AW34)</f>
        <v>0.6666666667</v>
      </c>
      <c r="E19" s="6">
        <f>COUNTIFS(BASE_CONSOLIDADA!J5:J34,A16,BASE_CONSOLIDADA!AX5:AX34,"ALTO")</f>
        <v>2</v>
      </c>
    </row>
    <row r="20">
      <c r="A20" s="6" t="s">
        <v>100</v>
      </c>
      <c r="B20" s="6">
        <f>COUNTIF(BASE_CONSOLIDADA!J5:J34,A17)</f>
        <v>2</v>
      </c>
      <c r="C20" s="10">
        <f>AVERAGEIF(BASE_CONSOLIDADA!J5:J34,A17,BASE_CONSOLIDADA!AT5:AT34)</f>
        <v>57.67556468</v>
      </c>
      <c r="D20" s="20">
        <f>AVERAGEIF(BASE_CONSOLIDADA!J5:J34,A17,BASE_CONSOLIDADA!AW5:AW34)</f>
        <v>0.5</v>
      </c>
      <c r="E20" s="6">
        <f>COUNTIFS(BASE_CONSOLIDADA!J5:J34,A17,BASE_CONSOLIDADA!AX5:AX34,"ALTO")</f>
        <v>2</v>
      </c>
    </row>
    <row r="21" ht="15.75" customHeight="1">
      <c r="A21" s="6" t="s">
        <v>109</v>
      </c>
      <c r="B21" s="6">
        <f>COUNTIF(BASE_CONSOLIDADA!J5:J34,A18)</f>
        <v>2</v>
      </c>
      <c r="C21" s="10">
        <f>AVERAGEIF(BASE_CONSOLIDADA!J5:J34,A18,BASE_CONSOLIDADA!AT5:AT34)</f>
        <v>34.7761807</v>
      </c>
      <c r="D21" s="20">
        <f>AVERAGEIF(BASE_CONSOLIDADA!J5:J34,A18,BASE_CONSOLIDADA!AW5:AW34)</f>
        <v>1</v>
      </c>
      <c r="E21" s="6">
        <f>COUNTIFS(BASE_CONSOLIDADA!J5:J34,A18,BASE_CONSOLIDADA!AX5:AX34,"ALTO")</f>
        <v>2</v>
      </c>
    </row>
    <row r="22" ht="15.75" customHeight="1">
      <c r="A22" s="6" t="s">
        <v>82</v>
      </c>
      <c r="B22" s="6">
        <f>COUNTIF(BASE_CONSOLIDADA!J5:J34,A19)</f>
        <v>3</v>
      </c>
      <c r="C22" s="10">
        <f>AVERAGEIF(BASE_CONSOLIDADA!J5:J34,A19,BASE_CONSOLIDADA!AT5:AT34)</f>
        <v>52.5119781</v>
      </c>
      <c r="D22" s="20">
        <f>AVERAGEIF(BASE_CONSOLIDADA!J5:J34,A19,BASE_CONSOLIDADA!AW5:AW34)</f>
        <v>0.6666666667</v>
      </c>
      <c r="E22" s="6">
        <f>COUNTIFS(BASE_CONSOLIDADA!J5:J34,A19,BASE_CONSOLIDADA!AX5:AX34,"ALTO")</f>
        <v>2</v>
      </c>
    </row>
    <row r="23" ht="15.75" customHeight="1">
      <c r="A23" s="6" t="s">
        <v>92</v>
      </c>
      <c r="B23" s="6">
        <f>COUNTIF(BASE_CONSOLIDADA!J5:J34,A20)</f>
        <v>3</v>
      </c>
      <c r="C23" s="10">
        <f>AVERAGEIF(BASE_CONSOLIDADA!J5:J34,A20,BASE_CONSOLIDADA!AT5:AT34)</f>
        <v>37.69472964</v>
      </c>
      <c r="D23" s="20">
        <f>AVERAGEIF(BASE_CONSOLIDADA!J5:J34,A20,BASE_CONSOLIDADA!AW5:AW34)</f>
        <v>0.6666666667</v>
      </c>
      <c r="E23" s="6">
        <f>COUNTIFS(BASE_CONSOLIDADA!J5:J34,A20,BASE_CONSOLIDADA!AX5:AX34,"ALTO")</f>
        <v>3</v>
      </c>
    </row>
    <row r="24" ht="15.75" customHeight="1">
      <c r="A24" s="6" t="s">
        <v>125</v>
      </c>
      <c r="B24" s="6">
        <f>COUNTIF(BASE_CONSOLIDADA!J5:J34,A21)</f>
        <v>3</v>
      </c>
      <c r="C24" s="10">
        <f>AVERAGEIF(BASE_CONSOLIDADA!J5:J34,A21,BASE_CONSOLIDADA!AT5:AT34)</f>
        <v>35.26351814</v>
      </c>
      <c r="D24" s="20">
        <f>AVERAGEIF(BASE_CONSOLIDADA!J5:J34,A21,BASE_CONSOLIDADA!AW5:AW34)</f>
        <v>0.6666666667</v>
      </c>
      <c r="E24" s="6">
        <f>COUNTIFS(BASE_CONSOLIDADA!J5:J34,A21,BASE_CONSOLIDADA!AX5:AX34,"ALTO")</f>
        <v>3</v>
      </c>
    </row>
    <row r="25" ht="15.75" customHeight="1">
      <c r="A25" s="6" t="s">
        <v>36</v>
      </c>
      <c r="B25" s="6">
        <f>COUNTIF(BASE_CONSOLIDADA!J5:J34,A22)</f>
        <v>3</v>
      </c>
      <c r="C25" s="10">
        <f>AVERAGEIF(BASE_CONSOLIDADA!J5:J34,A22,BASE_CONSOLIDADA!AT5:AT34)</f>
        <v>57.94387406</v>
      </c>
      <c r="D25" s="20">
        <f>AVERAGEIF(BASE_CONSOLIDADA!J5:J34,A22,BASE_CONSOLIDADA!AW5:AW34)</f>
        <v>0.6666666667</v>
      </c>
      <c r="E25" s="6">
        <f>COUNTIFS(BASE_CONSOLIDADA!J5:J34,A22,BASE_CONSOLIDADA!AX5:AX34,"ALTO")</f>
        <v>3</v>
      </c>
    </row>
    <row r="26" ht="15.75" customHeight="1">
      <c r="A26" s="6"/>
      <c r="B26" s="6"/>
      <c r="C26" s="6"/>
      <c r="D26" s="6"/>
      <c r="E26" s="6"/>
    </row>
    <row r="27" ht="15.75" customHeight="1">
      <c r="A27" s="6" t="s">
        <v>440</v>
      </c>
      <c r="B27" s="6" t="s">
        <v>380</v>
      </c>
      <c r="C27" s="6" t="s">
        <v>381</v>
      </c>
      <c r="D27" s="6" t="s">
        <v>383</v>
      </c>
      <c r="E27" s="6"/>
    </row>
    <row r="28" ht="15.75" customHeight="1">
      <c r="A28" s="6" t="s">
        <v>38</v>
      </c>
      <c r="B28" s="6">
        <f>COUNTIF(BASE_CONSOLIDADA!M5:M34,A25)</f>
        <v>0</v>
      </c>
      <c r="C28" s="10" t="str">
        <f>AVERAGEIF(BASE_CONSOLIDADA!M5:M34,A25,BASE_CONSOLIDADA!AT5:AT34)</f>
        <v>#DIV/0!</v>
      </c>
      <c r="D28" s="20" t="str">
        <f>AVERAGEIF(BASE_CONSOLIDADA!M5:M34,A25,BASE_CONSOLIDADA!AW5:AW34)</f>
        <v>#DIV/0!</v>
      </c>
      <c r="E28" s="6"/>
    </row>
    <row r="29" ht="15.75" customHeight="1">
      <c r="A29" s="6" t="s">
        <v>74</v>
      </c>
      <c r="B29" s="6">
        <f>COUNTIF(BASE_CONSOLIDADA!M5:M34,A26)</f>
        <v>0</v>
      </c>
      <c r="C29" s="10" t="str">
        <f>AVERAGEIF(BASE_CONSOLIDADA!M5:M34,A26,BASE_CONSOLIDADA!AT5:AT34)</f>
        <v>#DIV/0!</v>
      </c>
      <c r="D29" s="20" t="str">
        <f>AVERAGEIF(BASE_CONSOLIDADA!M5:M34,A26,BASE_CONSOLIDADA!AW5:AW34)</f>
        <v>#DIV/0!</v>
      </c>
      <c r="E29" s="6"/>
    </row>
    <row r="30" ht="15.75" customHeight="1">
      <c r="A30" s="6" t="s">
        <v>101</v>
      </c>
      <c r="B30" s="6">
        <f>COUNTIF(BASE_CONSOLIDADA!M5:M34,A27)</f>
        <v>0</v>
      </c>
      <c r="C30" s="10" t="str">
        <f>AVERAGEIF(BASE_CONSOLIDADA!M5:M34,A27,BASE_CONSOLIDADA!AT5:AT34)</f>
        <v>#DIV/0!</v>
      </c>
      <c r="D30" s="20" t="str">
        <f>AVERAGEIF(BASE_CONSOLIDADA!M5:M34,A27,BASE_CONSOLIDADA!AW5:AW34)</f>
        <v>#DIV/0!</v>
      </c>
      <c r="E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B78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24.0"/>
    <col customWidth="1" min="4" max="4" width="3.0"/>
    <col customWidth="1" min="5" max="5" width="32.0"/>
    <col customWidth="1" min="6" max="6" width="18.0"/>
    <col customWidth="1" min="7" max="7" width="45.0"/>
    <col customWidth="1" min="8" max="8" width="18.0"/>
    <col customWidth="1" min="9" max="26" width="8.57"/>
  </cols>
  <sheetData>
    <row r="1" ht="27.75" customHeight="1">
      <c r="A1" s="12" t="s">
        <v>325</v>
      </c>
      <c r="B1" s="2"/>
      <c r="C1" s="2"/>
      <c r="D1" s="2"/>
      <c r="E1" s="2"/>
      <c r="F1" s="2"/>
      <c r="G1" s="2"/>
      <c r="H1" s="3"/>
    </row>
    <row r="2" ht="15.75" customHeight="1">
      <c r="A2" s="13" t="s">
        <v>328</v>
      </c>
    </row>
    <row r="4">
      <c r="E4" s="14" t="s">
        <v>331</v>
      </c>
      <c r="F4" s="16" t="str">
        <f>MAX(1,ROUND(12+F5*0.5+B12*0.12+B13*0.18+B14*0.1+B6*0.7+B10*3+B11*1.5-IF(B9&lt;3,8,0)-IF(B8="Temporal",10,IF(B8="Fijo",4,0))-B15*0.8,0))</f>
        <v>#VALUE!</v>
      </c>
      <c r="G4" s="17" t="s">
        <v>343</v>
      </c>
    </row>
    <row r="5">
      <c r="A5" s="14" t="s">
        <v>344</v>
      </c>
      <c r="B5" s="18" t="s">
        <v>345</v>
      </c>
      <c r="C5" s="19" t="s">
        <v>348</v>
      </c>
      <c r="E5" s="19" t="s">
        <v>349</v>
      </c>
      <c r="F5" s="16" t="str">
        <f>MAX(1,ROUND(12+B10*0.5+B12*1.8+B13*2+B14*0.1+B8/1000000*0.8+B16*0.05-IF(B12&lt;3,8,0)-IF(B9="Temporal",10,IF(B9="Fijo",4,0))-B15*0.8,0))</f>
        <v>#VALUE!</v>
      </c>
      <c r="G5" s="17" t="s">
        <v>356</v>
      </c>
    </row>
    <row r="6">
      <c r="A6" s="14" t="s">
        <v>357</v>
      </c>
      <c r="B6" s="18">
        <v>30.0</v>
      </c>
      <c r="C6" s="19" t="s">
        <v>358</v>
      </c>
      <c r="E6" s="19" t="s">
        <v>360</v>
      </c>
      <c r="F6" s="16" t="str">
        <f>F5/12</f>
        <v>#VALUE!</v>
      </c>
      <c r="G6" s="17" t="s">
        <v>361</v>
      </c>
    </row>
    <row r="7">
      <c r="A7" s="14" t="s">
        <v>362</v>
      </c>
      <c r="B7" s="18" t="s">
        <v>36</v>
      </c>
      <c r="C7" s="19" t="s">
        <v>364</v>
      </c>
      <c r="E7" s="19" t="s">
        <v>365</v>
      </c>
      <c r="F7" s="16" t="str">
        <f>MAX(0,MIN(1,0.7-(B12/5*0.2)-(B13/5*0.16)-(B14/100*0.14)+MIN(B15/15,1)*0.16+IF(B9="Temporal",0.14,IF(B9="Fijo",0.06,0))))</f>
        <v>#VALUE!</v>
      </c>
      <c r="G7" s="17" t="s">
        <v>370</v>
      </c>
    </row>
    <row r="8">
      <c r="A8" s="14" t="s">
        <v>371</v>
      </c>
      <c r="B8" s="18" t="s">
        <v>372</v>
      </c>
      <c r="C8" s="19" t="s">
        <v>373</v>
      </c>
      <c r="E8" s="19" t="s">
        <v>374</v>
      </c>
      <c r="F8" s="16" t="str">
        <f>IF(F7&gt;=0.67,"ALTO",IF(F7&gt;=0.4,"MEDIO","BAJO"))</f>
        <v>#VALUE!</v>
      </c>
      <c r="G8" s="17" t="s">
        <v>377</v>
      </c>
    </row>
    <row r="9">
      <c r="A9" s="14" t="s">
        <v>378</v>
      </c>
      <c r="B9" s="18">
        <v>4500000.0</v>
      </c>
      <c r="C9" s="19" t="s">
        <v>382</v>
      </c>
      <c r="F9" s="16" t="str">
        <f>IF(F8="ALTO","Satisfacción/compromiso bajos, ausentismo alto o contrato temporal",IF(F8="MEDIO","Revisar satisfacción, contrato y ausentismo","Señales favorables: satisfacción, desempeño y contrato"))</f>
        <v>#VALUE!</v>
      </c>
      <c r="G9" s="17"/>
    </row>
    <row r="10">
      <c r="A10" s="14" t="s">
        <v>385</v>
      </c>
      <c r="B10" s="18" t="s">
        <v>38</v>
      </c>
      <c r="C10" s="19" t="s">
        <v>386</v>
      </c>
    </row>
    <row r="11">
      <c r="A11" s="14" t="s">
        <v>388</v>
      </c>
      <c r="B11" s="18">
        <v>5.0</v>
      </c>
      <c r="C11" s="19" t="s">
        <v>358</v>
      </c>
    </row>
    <row r="12">
      <c r="A12" s="14" t="s">
        <v>389</v>
      </c>
      <c r="B12" s="18" t="s">
        <v>52</v>
      </c>
      <c r="C12" s="19" t="s">
        <v>390</v>
      </c>
      <c r="E12" s="19" t="s">
        <v>391</v>
      </c>
    </row>
    <row r="13">
      <c r="A13" s="14" t="s">
        <v>392</v>
      </c>
      <c r="B13" s="18">
        <v>4.0</v>
      </c>
      <c r="C13" s="19" t="s">
        <v>393</v>
      </c>
      <c r="E13" s="19" t="s">
        <v>395</v>
      </c>
      <c r="F13" s="19" t="s">
        <v>260</v>
      </c>
      <c r="G13" s="19" t="s">
        <v>396</v>
      </c>
      <c r="H13" s="19" t="s">
        <v>397</v>
      </c>
    </row>
    <row r="14">
      <c r="A14" s="14" t="s">
        <v>398</v>
      </c>
      <c r="B14" s="18">
        <v>4.0</v>
      </c>
      <c r="C14" s="19" t="s">
        <v>393</v>
      </c>
      <c r="E14" s="19" t="s">
        <v>399</v>
      </c>
      <c r="F14" s="19" t="s">
        <v>400</v>
      </c>
      <c r="G14" s="19">
        <f>MAX(1,ROUND(12+4*0.5+2*1.8+3*2+70*0.1+2500000/1000000*0.8+20*0.05-IF(2&lt;3,8,0)-IF("Temporal"="Temporal",10,IF("Temporal"="Fijo",4,0))-IF("A"="E",12,0),0))</f>
        <v>16</v>
      </c>
      <c r="H14" s="14" t="str">
        <f>IF((0.7-(2/5*0.2)-(3/5*0.16)-(70/100*0.14)+IF("A"="E",0.16,0)+IF("Temporal"="Temporal",0.14,IF("Temporal"="Fijo",0.06,0)))&gt;=0.67,"ALTO",IF((0.7-(2/5*0.2)-(3/5*0.16)-(70/100*0.14)+IF("A"="E",0.16,0)+IF("Temporal"="Temporal",0.14,IF("Temporal"="Fijo",0.06,0)))&gt;=0.4,"MEDIO","BAJO"))</f>
        <v>MEDIO</v>
      </c>
    </row>
    <row r="15">
      <c r="A15" s="14" t="s">
        <v>406</v>
      </c>
      <c r="B15" s="18">
        <v>82.0</v>
      </c>
      <c r="C15" s="19" t="s">
        <v>407</v>
      </c>
      <c r="E15" s="19" t="s">
        <v>409</v>
      </c>
      <c r="F15" s="19" t="s">
        <v>410</v>
      </c>
      <c r="G15" s="19">
        <f>MAX(1,ROUND(12+4*0.5+5*1.8+5*2+90*0.1+6500000/1000000*0.8+20*0.05-IF(5&lt;3,8,0)-IF("Indefinido"="Temporal",10,IF("Indefinido"="Fijo",4,0))-IF("B"="E",12,0),0))</f>
        <v>48</v>
      </c>
      <c r="H15" s="14" t="str">
        <f>IF((0.7-(5/5*0.2)-(5/5*0.16)-(90/100*0.14)+IF("B"="E",0.16,0)+IF("Indefinido"="Temporal",0.14,IF("Indefinido"="Fijo",0.06,0)))&gt;=0.67,"ALTO",IF((0.7-(5/5*0.2)-(5/5*0.16)-(90/100*0.14)+IF("B"="E",0.16,0)+IF("Indefinido"="Temporal",0.14,IF("Indefinido"="Fijo",0.06,0)))&gt;=0.4,"MEDIO","BAJO"))</f>
        <v>BAJO</v>
      </c>
    </row>
    <row r="16">
      <c r="A16" s="14" t="s">
        <v>413</v>
      </c>
      <c r="B16" s="18">
        <v>3.0</v>
      </c>
      <c r="C16" s="19" t="s">
        <v>414</v>
      </c>
      <c r="E16" s="19" t="s">
        <v>415</v>
      </c>
      <c r="F16" s="19" t="s">
        <v>416</v>
      </c>
      <c r="G16" s="19">
        <f>MAX(1,ROUND(12+4*0.5+3*1.8+3*2+78*0.1+3500000/1000000*0.8+20*0.05-IF(3&lt;3,8,0)-IF("Temporal"="Temporal",10,IF("Temporal"="Fijo",4,0))-IF("C"="E",12,0),0))</f>
        <v>27</v>
      </c>
      <c r="H16" s="14" t="str">
        <f>IF((0.7-(3/5*0.2)-(3/5*0.16)-(78/100*0.14)+IF("C"="E",0.16,0)+IF("Temporal"="Temporal",0.14,IF("Temporal"="Fijo",0.06,0)))&gt;=0.67,"ALTO",IF((0.7-(3/5*0.2)-(3/5*0.16)-(78/100*0.14)+IF("C"="E",0.16,0)+IF("Temporal"="Temporal",0.14,IF("Temporal"="Fijo",0.06,0)))&gt;=0.4,"MEDIO","BAJO"))</f>
        <v>MEDIO</v>
      </c>
    </row>
    <row r="17">
      <c r="A17" s="14" t="s">
        <v>419</v>
      </c>
      <c r="B17" s="18">
        <v>20.0</v>
      </c>
      <c r="C17" s="19" t="s">
        <v>420</v>
      </c>
      <c r="E17" s="19" t="s">
        <v>422</v>
      </c>
      <c r="F17" s="19" t="s">
        <v>423</v>
      </c>
      <c r="G17" s="19">
        <f>MAX(1,ROUND(12+4*0.5+5*1.8+5*2+95*0.1+5000000/1000000*0.8+20*0.05-IF(5&lt;3,8,0)-IF("Indefinido"="Temporal",10,IF("Indefinido"="Fijo",4,0))-IF("D"="E",12,0),0))</f>
        <v>48</v>
      </c>
      <c r="H17" s="14" t="str">
        <f>IF((0.7-(5/5*0.2)-(5/5*0.16)-(95/100*0.14)+IF("D"="E",0.16,0)+IF("Indefinido"="Temporal",0.14,IF("Indefinido"="Fijo",0.06,0)))&gt;=0.67,"ALTO",IF((0.7-(5/5*0.2)-(5/5*0.16)-(95/100*0.14)+IF("D"="E",0.16,0)+IF("Indefinido"="Temporal",0.14,IF("Indefinido"="Fijo",0.06,0)))&gt;=0.4,"MEDIO","BAJO"))</f>
        <v>BAJO</v>
      </c>
    </row>
    <row r="18">
      <c r="A18" s="14" t="s">
        <v>426</v>
      </c>
      <c r="B18" s="18">
        <v>82.0</v>
      </c>
      <c r="C18" s="19" t="s">
        <v>427</v>
      </c>
      <c r="E18" s="19" t="s">
        <v>428</v>
      </c>
      <c r="F18" s="19" t="s">
        <v>429</v>
      </c>
      <c r="G18" s="19">
        <f>MAX(1,ROUND(12+4*0.5+4*1.8+4*2+82*0.1+4500000/1000000*0.8+20*0.05-IF(4&lt;3,8,0)-IF("Indefinido"="Temporal",10,IF("Indefinido"="Fijo",4,0))-IF("E"="E",12,0),0))</f>
        <v>30</v>
      </c>
      <c r="H18" s="14" t="str">
        <f>IF((0.7-(4/5*0.2)-(4/5*0.16)-(82/100*0.14)+IF("E"="E",0.16,0)+IF("Indefinido"="Temporal",0.14,IF("Indefinido"="Fijo",0.06,0)))&gt;=0.67,"ALTO",IF((0.7-(4/5*0.2)-(4/5*0.16)-(82/100*0.14)+IF("E"="E",0.16,0)+IF("Indefinido"="Temporal",0.14,IF("Indefinido"="Fijo",0.06,0)))&gt;=0.4,"MEDIO","BAJO"))</f>
        <v>MEDIO</v>
      </c>
    </row>
    <row r="19">
      <c r="A19" s="14" t="s">
        <v>433</v>
      </c>
      <c r="B19" s="18">
        <v>80.0</v>
      </c>
      <c r="C19" s="19" t="s">
        <v>427</v>
      </c>
    </row>
    <row r="20">
      <c r="A20" s="14" t="s">
        <v>434</v>
      </c>
      <c r="B20" s="18">
        <v>84.0</v>
      </c>
      <c r="C20" s="19" t="s">
        <v>427</v>
      </c>
    </row>
    <row r="21" ht="15.75" customHeight="1">
      <c r="A21" s="14" t="s">
        <v>435</v>
      </c>
      <c r="B21" s="18" t="s">
        <v>317</v>
      </c>
      <c r="C21" s="19" t="s">
        <v>261</v>
      </c>
    </row>
    <row r="22" ht="15.75" customHeight="1">
      <c r="A22" s="14" t="s">
        <v>436</v>
      </c>
      <c r="B22" s="14" t="s">
        <v>65</v>
      </c>
      <c r="C22" s="14" t="s">
        <v>437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F8">
    <cfRule type="expression" dxfId="0" priority="1">
      <formula>F8="ALTO"</formula>
    </cfRule>
  </conditionalFormatting>
  <conditionalFormatting sqref="H14:H18">
    <cfRule type="expression" dxfId="0" priority="2">
      <formula>H14="ALTO"</formula>
    </cfRule>
  </conditionalFormatting>
  <dataValidations>
    <dataValidation type="list" allowBlank="1" sqref="B9">
      <formula1>"Indefinido,Fijo,Temporal"</formula1>
    </dataValidation>
    <dataValidation type="decimal" allowBlank="1" sqref="B12:B13">
      <formula1>1,2,3,4,5</formula1>
      <formula2>0.0</formula2>
    </dataValidation>
    <dataValidation type="decimal" allowBlank="1" sqref="B15">
      <formula1>0,60</formula1>
      <formula2>0.0</formula2>
    </dataValidation>
    <dataValidation type="decimal" allowBlank="1" sqref="B14">
      <formula1>0,100</formula1>
      <formula2>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B78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20.0"/>
    <col customWidth="1" min="4" max="4" width="18.0"/>
    <col customWidth="1" min="5" max="5" width="3.0"/>
    <col customWidth="1" min="6" max="12" width="18.0"/>
    <col customWidth="1" min="13" max="26" width="8.57"/>
  </cols>
  <sheetData>
    <row r="1" ht="27.75" customHeight="1">
      <c r="A1" s="12" t="s">
        <v>525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13" t="s">
        <v>526</v>
      </c>
    </row>
    <row r="5">
      <c r="A5" s="22" t="s">
        <v>527</v>
      </c>
      <c r="B5" s="2"/>
      <c r="C5" s="3"/>
      <c r="E5" s="22" t="s">
        <v>528</v>
      </c>
      <c r="F5" s="2"/>
      <c r="G5" s="3"/>
      <c r="I5" s="22" t="s">
        <v>529</v>
      </c>
      <c r="J5" s="2"/>
      <c r="K5" s="3"/>
    </row>
    <row r="6">
      <c r="A6" s="23">
        <f>COUNTA(BASE_CONSOLIDADA!A5:A34)</f>
        <v>30</v>
      </c>
      <c r="E6" s="23">
        <f>COUNTIF(BASE_CONSOLIDADA!P5:P34,"ACTIVO")</f>
        <v>10</v>
      </c>
      <c r="I6" s="23">
        <f>COUNTIF(BASE_CONSOLIDADA!P5:P34,"RETIRADO")</f>
        <v>20</v>
      </c>
    </row>
    <row r="8">
      <c r="A8" s="22" t="s">
        <v>338</v>
      </c>
      <c r="B8" s="2"/>
      <c r="C8" s="3"/>
      <c r="E8" s="22" t="s">
        <v>335</v>
      </c>
      <c r="F8" s="2"/>
      <c r="G8" s="3"/>
      <c r="I8" s="22" t="s">
        <v>530</v>
      </c>
      <c r="J8" s="2"/>
      <c r="K8" s="3"/>
    </row>
    <row r="9">
      <c r="A9" s="24">
        <f>AVERAGE(BASE_CONSOLIDADA!AW5:AW34)</f>
        <v>0.6666666667</v>
      </c>
      <c r="E9" s="25">
        <f>AVERAGE(BASE_CONSOLIDADA!AT5:AT34)</f>
        <v>49.10390144</v>
      </c>
      <c r="I9" s="26">
        <f>AVERAGE(BASE_CONSOLIDADA!X5:X34)</f>
        <v>4259160.5</v>
      </c>
    </row>
    <row r="11">
      <c r="A11" s="22" t="s">
        <v>535</v>
      </c>
      <c r="B11" s="2"/>
      <c r="C11" s="3"/>
      <c r="E11" s="22" t="s">
        <v>536</v>
      </c>
      <c r="F11" s="2"/>
      <c r="G11" s="3"/>
      <c r="I11" s="22" t="s">
        <v>537</v>
      </c>
      <c r="J11" s="2"/>
      <c r="K11" s="3"/>
    </row>
    <row r="12">
      <c r="A12" s="25">
        <f>AVERAGE(BASE_CONSOLIDADA!Z5:Z34)</f>
        <v>4.066666667</v>
      </c>
      <c r="E12" s="25">
        <f>AVERAGE(BASE_CONSOLIDADA!Y5:Y34)</f>
        <v>82.53333333</v>
      </c>
      <c r="I12" s="23">
        <f>COUNTIF(BASE_CONSOLIDADA!AX5:AX34,"ALTO")</f>
        <v>27</v>
      </c>
    </row>
    <row r="17">
      <c r="A17" s="27" t="s">
        <v>362</v>
      </c>
      <c r="B17" s="27" t="s">
        <v>538</v>
      </c>
      <c r="C17" s="27" t="s">
        <v>335</v>
      </c>
      <c r="D17" s="27" t="s">
        <v>469</v>
      </c>
    </row>
    <row r="18">
      <c r="A18" s="27" t="s">
        <v>145</v>
      </c>
      <c r="B18" s="27">
        <f>COUNTIF(BASE_CONSOLIDADA!J5:J34,A18)</f>
        <v>3</v>
      </c>
      <c r="C18" s="27">
        <f>AVERAGEIF(BASE_CONSOLIDADA!J5:J34,A18,BASE_CONSOLIDADA!AT5:AT34)</f>
        <v>65.19370294</v>
      </c>
      <c r="D18" s="27">
        <f>AVERAGEIF(BASE_CONSOLIDADA!J5:J34,A18,BASE_CONSOLIDADA!AW5:AW34)</f>
        <v>0.3333333333</v>
      </c>
    </row>
    <row r="19">
      <c r="A19" s="27" t="s">
        <v>72</v>
      </c>
      <c r="B19" s="27">
        <f>COUNTIF(BASE_CONSOLIDADA!J5:J34,A19)</f>
        <v>3</v>
      </c>
      <c r="C19" s="27">
        <f>AVERAGEIF(BASE_CONSOLIDADA!J5:J34,A19,BASE_CONSOLIDADA!AT5:AT34)</f>
        <v>55.3155373</v>
      </c>
      <c r="D19" s="27">
        <f>AVERAGEIF(BASE_CONSOLIDADA!J5:J34,A19,BASE_CONSOLIDADA!AW5:AW34)</f>
        <v>0.6666666667</v>
      </c>
    </row>
    <row r="20">
      <c r="A20" s="27" t="s">
        <v>138</v>
      </c>
      <c r="B20" s="27">
        <f>COUNTIF(BASE_CONSOLIDADA!J5:J34,A20)</f>
        <v>2</v>
      </c>
      <c r="C20" s="27">
        <f>AVERAGEIF(BASE_CONSOLIDADA!J5:J34,A20,BASE_CONSOLIDADA!AT5:AT34)</f>
        <v>57.67556468</v>
      </c>
      <c r="D20" s="27">
        <f>AVERAGEIF(BASE_CONSOLIDADA!J5:J34,A20,BASE_CONSOLIDADA!AW5:AW34)</f>
        <v>0.5</v>
      </c>
    </row>
    <row r="21" ht="15.75" customHeight="1">
      <c r="A21" s="27" t="s">
        <v>132</v>
      </c>
      <c r="B21" s="27">
        <f>COUNTIF(BASE_CONSOLIDADA!J5:J34,A21)</f>
        <v>2</v>
      </c>
      <c r="C21" s="27">
        <f>AVERAGEIF(BASE_CONSOLIDADA!J5:J34,A21,BASE_CONSOLIDADA!AT5:AT34)</f>
        <v>34.7761807</v>
      </c>
      <c r="D21" s="27">
        <f>AVERAGEIF(BASE_CONSOLIDADA!J5:J34,A21,BASE_CONSOLIDADA!AW5:AW34)</f>
        <v>1</v>
      </c>
    </row>
    <row r="22" ht="15.75" customHeight="1">
      <c r="A22" s="27" t="s">
        <v>55</v>
      </c>
      <c r="B22" s="27">
        <f>COUNTIF(BASE_CONSOLIDADA!J5:J34,A22)</f>
        <v>3</v>
      </c>
      <c r="C22" s="27">
        <f>AVERAGEIF(BASE_CONSOLIDADA!J5:J34,A22,BASE_CONSOLIDADA!AT5:AT34)</f>
        <v>52.5119781</v>
      </c>
      <c r="D22" s="27">
        <f>AVERAGEIF(BASE_CONSOLIDADA!J5:J34,A22,BASE_CONSOLIDADA!AW5:AW34)</f>
        <v>0.6666666667</v>
      </c>
    </row>
    <row r="23" ht="15.75" customHeight="1">
      <c r="A23" s="27" t="s">
        <v>100</v>
      </c>
      <c r="B23" s="27">
        <f>COUNTIF(BASE_CONSOLIDADA!J5:J34,A23)</f>
        <v>3</v>
      </c>
      <c r="C23" s="27">
        <f>AVERAGEIF(BASE_CONSOLIDADA!J5:J34,A23,BASE_CONSOLIDADA!AT5:AT34)</f>
        <v>37.69472964</v>
      </c>
      <c r="D23" s="27">
        <f>AVERAGEIF(BASE_CONSOLIDADA!J5:J34,A23,BASE_CONSOLIDADA!AW5:AW34)</f>
        <v>0.6666666667</v>
      </c>
    </row>
    <row r="24" ht="15.75" customHeight="1">
      <c r="A24" s="27" t="s">
        <v>109</v>
      </c>
      <c r="B24" s="27">
        <f>COUNTIF(BASE_CONSOLIDADA!J5:J34,A24)</f>
        <v>3</v>
      </c>
      <c r="C24" s="27">
        <f>AVERAGEIF(BASE_CONSOLIDADA!J5:J34,A24,BASE_CONSOLIDADA!AT5:AT34)</f>
        <v>35.26351814</v>
      </c>
      <c r="D24" s="27">
        <f>AVERAGEIF(BASE_CONSOLIDADA!J5:J34,A24,BASE_CONSOLIDADA!AW5:AW34)</f>
        <v>0.6666666667</v>
      </c>
    </row>
    <row r="25" ht="15.75" customHeight="1">
      <c r="A25" s="27" t="s">
        <v>82</v>
      </c>
      <c r="B25" s="27">
        <f>COUNTIF(BASE_CONSOLIDADA!J5:J34,A25)</f>
        <v>3</v>
      </c>
      <c r="C25" s="27">
        <f>AVERAGEIF(BASE_CONSOLIDADA!J5:J34,A25,BASE_CONSOLIDADA!AT5:AT34)</f>
        <v>57.94387406</v>
      </c>
      <c r="D25" s="27">
        <f>AVERAGEIF(BASE_CONSOLIDADA!J5:J34,A25,BASE_CONSOLIDADA!AW5:AW34)</f>
        <v>0.6666666667</v>
      </c>
    </row>
    <row r="26" ht="15.75" customHeight="1">
      <c r="A26" s="27" t="s">
        <v>92</v>
      </c>
      <c r="B26" s="27">
        <f>COUNTIF(BASE_CONSOLIDADA!J5:J34,A26)</f>
        <v>2</v>
      </c>
      <c r="C26" s="27">
        <f>AVERAGEIF(BASE_CONSOLIDADA!J5:J34,A26,BASE_CONSOLIDADA!AT5:AT34)</f>
        <v>42.03696099</v>
      </c>
      <c r="D26" s="27">
        <f>AVERAGEIF(BASE_CONSOLIDADA!J5:J34,A26,BASE_CONSOLIDADA!AW5:AW34)</f>
        <v>1</v>
      </c>
    </row>
    <row r="27" ht="15.75" customHeight="1">
      <c r="A27" s="27" t="s">
        <v>125</v>
      </c>
      <c r="B27" s="27">
        <f>COUNTIF(BASE_CONSOLIDADA!J5:J34,A27)</f>
        <v>3</v>
      </c>
      <c r="C27" s="27">
        <f>AVERAGEIF(BASE_CONSOLIDADA!J5:J34,A27,BASE_CONSOLIDADA!AT5:AT34)</f>
        <v>48.55852156</v>
      </c>
      <c r="D27" s="27">
        <f>AVERAGEIF(BASE_CONSOLIDADA!J5:J34,A27,BASE_CONSOLIDADA!AW5:AW34)</f>
        <v>0.6666666667</v>
      </c>
    </row>
    <row r="28" ht="15.75" customHeight="1">
      <c r="A28" s="27" t="s">
        <v>36</v>
      </c>
      <c r="B28" s="27">
        <f>COUNTIF(BASE_CONSOLIDADA!J5:J34,A28)</f>
        <v>3</v>
      </c>
      <c r="C28" s="27">
        <f>AVERAGEIF(BASE_CONSOLIDADA!J5:J34,A28,BASE_CONSOLIDADA!AT5:AT34)</f>
        <v>48.89801506</v>
      </c>
      <c r="D28" s="27">
        <f>AVERAGEIF(BASE_CONSOLIDADA!J5:J34,A28,BASE_CONSOLIDADA!AW5:AW34)</f>
        <v>0.6666666667</v>
      </c>
    </row>
    <row r="29" ht="15.75" customHeight="1">
      <c r="A29" s="27"/>
      <c r="B29" s="27"/>
      <c r="C29" s="27"/>
      <c r="D29" s="27"/>
    </row>
    <row r="30" ht="15.75" customHeight="1">
      <c r="A30" s="27"/>
      <c r="B30" s="27"/>
      <c r="C30" s="27"/>
      <c r="D30" s="27"/>
    </row>
    <row r="31" ht="15.75" customHeight="1">
      <c r="A31" s="27" t="s">
        <v>539</v>
      </c>
      <c r="B31" s="27" t="s">
        <v>335</v>
      </c>
      <c r="C31" s="27"/>
      <c r="D31" s="27"/>
    </row>
    <row r="32" ht="15.75" customHeight="1">
      <c r="A32" s="27" t="s">
        <v>38</v>
      </c>
      <c r="B32" s="27">
        <f>AVERAGEIF(BASE_CONSOLIDADA!M5:M34,A32,BASE_CONSOLIDADA!AT5:AT34)</f>
        <v>62.63326489</v>
      </c>
      <c r="C32" s="27"/>
      <c r="D32" s="27"/>
    </row>
    <row r="33" ht="15.75" customHeight="1">
      <c r="A33" s="27" t="s">
        <v>74</v>
      </c>
      <c r="B33" s="27">
        <f>AVERAGEIF(BASE_CONSOLIDADA!M5:M34,A33,BASE_CONSOLIDADA!AT5:AT34)</f>
        <v>40.97815942</v>
      </c>
      <c r="C33" s="27"/>
      <c r="D33" s="27"/>
    </row>
    <row r="34" ht="15.75" customHeight="1">
      <c r="A34" s="27" t="s">
        <v>101</v>
      </c>
      <c r="B34" s="27">
        <f>AVERAGEIF(BASE_CONSOLIDADA!M5:M34,A34,BASE_CONSOLIDADA!AT5:AT34)</f>
        <v>20.71457906</v>
      </c>
      <c r="C34" s="27"/>
      <c r="D34" s="27"/>
    </row>
    <row r="35" ht="15.75" customHeight="1">
      <c r="A35" s="27"/>
      <c r="B35" s="27"/>
      <c r="C35" s="27"/>
      <c r="D35" s="27"/>
    </row>
    <row r="36" ht="15.75" customHeight="1">
      <c r="A36" s="27"/>
      <c r="B36" s="27"/>
      <c r="C36" s="27"/>
      <c r="D36" s="27"/>
    </row>
    <row r="37" ht="15.75" customHeight="1">
      <c r="A37" s="27" t="s">
        <v>397</v>
      </c>
      <c r="B37" s="27" t="s">
        <v>538</v>
      </c>
      <c r="C37" s="27"/>
      <c r="D37" s="27"/>
    </row>
    <row r="38" ht="15.75" customHeight="1">
      <c r="A38" s="27" t="s">
        <v>540</v>
      </c>
      <c r="B38" s="27">
        <f>COUNTIF(BASE_CONSOLIDADA!AX5:AX34,A38)</f>
        <v>3</v>
      </c>
      <c r="C38" s="27"/>
      <c r="D38" s="27"/>
    </row>
    <row r="39" ht="15.75" customHeight="1">
      <c r="A39" s="27" t="s">
        <v>541</v>
      </c>
      <c r="B39" s="27">
        <f>COUNTIF(BASE_CONSOLIDADA!AX5:AX34,A39)</f>
        <v>0</v>
      </c>
      <c r="C39" s="27"/>
      <c r="D39" s="27"/>
    </row>
    <row r="40" ht="15.75" customHeight="1">
      <c r="A40" s="27" t="s">
        <v>542</v>
      </c>
      <c r="B40" s="27">
        <f>COUNTIF(BASE_CONSOLIDADA!AX5:AX34,A40)</f>
        <v>27</v>
      </c>
      <c r="C40" s="27"/>
      <c r="D40" s="27"/>
    </row>
    <row r="41" ht="15.75" customHeight="1"/>
    <row r="42" ht="15.75" customHeight="1"/>
    <row r="43" ht="15.75" customHeight="1"/>
    <row r="44" ht="15.75" customHeight="1"/>
    <row r="45" ht="15.75" customHeight="1">
      <c r="A45" s="28" t="s">
        <v>543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</row>
    <row r="46" ht="15.0" customHeight="1">
      <c r="A46" s="29" t="s">
        <v>544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L1"/>
    <mergeCell ref="A2:L2"/>
    <mergeCell ref="A5:C5"/>
    <mergeCell ref="E5:G5"/>
    <mergeCell ref="I5:K5"/>
    <mergeCell ref="E6:G6"/>
    <mergeCell ref="I6:K6"/>
    <mergeCell ref="A11:C11"/>
    <mergeCell ref="E11:G11"/>
    <mergeCell ref="I11:K11"/>
    <mergeCell ref="A12:C12"/>
    <mergeCell ref="E12:G12"/>
    <mergeCell ref="I12:K12"/>
    <mergeCell ref="A45:L45"/>
    <mergeCell ref="A46:L49"/>
    <mergeCell ref="A6:C6"/>
    <mergeCell ref="A8:C8"/>
    <mergeCell ref="E8:G8"/>
    <mergeCell ref="I8:K8"/>
    <mergeCell ref="A9:C9"/>
    <mergeCell ref="E9:G9"/>
    <mergeCell ref="I9:K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2.0"/>
    <col customWidth="1" min="3" max="3" width="18.0"/>
    <col customWidth="1" min="4" max="4" width="24.0"/>
    <col customWidth="1" min="5" max="5" width="30.0"/>
    <col customWidth="1" min="6" max="6" width="20.0"/>
    <col customWidth="1" min="7" max="7" width="25.0"/>
    <col customWidth="1" min="8" max="8" width="30.0"/>
    <col customWidth="1" min="9" max="26" width="8.57"/>
  </cols>
  <sheetData>
    <row r="1" ht="30.0" customHeight="1">
      <c r="A1" s="1" t="s">
        <v>441</v>
      </c>
      <c r="B1" s="2"/>
      <c r="C1" s="2"/>
      <c r="D1" s="2"/>
      <c r="E1" s="2"/>
      <c r="F1" s="2"/>
      <c r="G1" s="2"/>
      <c r="H1" s="3"/>
    </row>
    <row r="2">
      <c r="A2" s="4" t="s">
        <v>442</v>
      </c>
      <c r="B2" s="5"/>
      <c r="C2" s="5"/>
      <c r="D2" s="5"/>
      <c r="E2" s="5"/>
      <c r="F2" s="5"/>
      <c r="G2" s="5"/>
      <c r="H2" s="5"/>
    </row>
    <row r="3">
      <c r="A3" s="6"/>
      <c r="B3" s="6"/>
      <c r="C3" s="6"/>
      <c r="D3" s="6"/>
      <c r="E3" s="6"/>
      <c r="F3" s="6"/>
      <c r="G3" s="6"/>
      <c r="H3" s="6"/>
    </row>
    <row r="4">
      <c r="A4" s="6" t="s">
        <v>259</v>
      </c>
      <c r="B4" s="6" t="s">
        <v>260</v>
      </c>
      <c r="C4" s="6" t="s">
        <v>261</v>
      </c>
      <c r="D4" s="6" t="s">
        <v>443</v>
      </c>
      <c r="E4" s="6" t="s">
        <v>444</v>
      </c>
      <c r="F4" s="6" t="s">
        <v>445</v>
      </c>
      <c r="G4" s="6" t="s">
        <v>446</v>
      </c>
      <c r="H4" s="6" t="s">
        <v>447</v>
      </c>
    </row>
    <row r="5">
      <c r="A5" s="6" t="s">
        <v>6</v>
      </c>
      <c r="B5" s="6" t="s">
        <v>448</v>
      </c>
      <c r="C5" s="6" t="s">
        <v>449</v>
      </c>
      <c r="D5" s="6" t="s">
        <v>450</v>
      </c>
      <c r="E5" s="6" t="s">
        <v>451</v>
      </c>
      <c r="F5" s="6" t="s">
        <v>452</v>
      </c>
      <c r="G5" s="6"/>
      <c r="H5" s="6" t="s">
        <v>453</v>
      </c>
    </row>
    <row r="6">
      <c r="A6" s="6" t="s">
        <v>7</v>
      </c>
      <c r="B6" s="6" t="s">
        <v>448</v>
      </c>
      <c r="C6" s="6" t="s">
        <v>449</v>
      </c>
      <c r="D6" s="6" t="s">
        <v>450</v>
      </c>
      <c r="E6" s="6" t="s">
        <v>451</v>
      </c>
      <c r="F6" s="6" t="s">
        <v>452</v>
      </c>
      <c r="G6" s="6"/>
      <c r="H6" s="6" t="s">
        <v>453</v>
      </c>
    </row>
    <row r="7">
      <c r="A7" s="6" t="s">
        <v>8</v>
      </c>
      <c r="B7" s="6" t="s">
        <v>448</v>
      </c>
      <c r="C7" s="6" t="s">
        <v>449</v>
      </c>
      <c r="D7" s="6" t="s">
        <v>450</v>
      </c>
      <c r="E7" s="6" t="s">
        <v>451</v>
      </c>
      <c r="F7" s="6" t="s">
        <v>452</v>
      </c>
      <c r="G7" s="6"/>
      <c r="H7" s="6" t="s">
        <v>453</v>
      </c>
    </row>
    <row r="8">
      <c r="A8" s="6" t="s">
        <v>12</v>
      </c>
      <c r="B8" s="6" t="s">
        <v>448</v>
      </c>
      <c r="C8" s="6" t="s">
        <v>449</v>
      </c>
      <c r="D8" s="6" t="s">
        <v>450</v>
      </c>
      <c r="E8" s="6" t="s">
        <v>451</v>
      </c>
      <c r="F8" s="6" t="s">
        <v>452</v>
      </c>
      <c r="G8" s="6"/>
      <c r="H8" s="6" t="s">
        <v>453</v>
      </c>
    </row>
    <row r="9">
      <c r="A9" s="6" t="s">
        <v>14</v>
      </c>
      <c r="B9" s="6" t="s">
        <v>448</v>
      </c>
      <c r="C9" s="6" t="s">
        <v>449</v>
      </c>
      <c r="D9" s="6" t="s">
        <v>450</v>
      </c>
      <c r="E9" s="6" t="s">
        <v>451</v>
      </c>
      <c r="F9" s="6" t="s">
        <v>452</v>
      </c>
      <c r="G9" s="6"/>
      <c r="H9" s="6" t="s">
        <v>453</v>
      </c>
    </row>
    <row r="10">
      <c r="A10" s="6" t="s">
        <v>16</v>
      </c>
      <c r="B10" s="6" t="s">
        <v>448</v>
      </c>
      <c r="C10" s="6" t="s">
        <v>449</v>
      </c>
      <c r="D10" s="6" t="s">
        <v>450</v>
      </c>
      <c r="E10" s="6" t="s">
        <v>451</v>
      </c>
      <c r="F10" s="6" t="s">
        <v>452</v>
      </c>
      <c r="G10" s="6"/>
      <c r="H10" s="6" t="s">
        <v>453</v>
      </c>
    </row>
    <row r="11">
      <c r="A11" s="6" t="s">
        <v>18</v>
      </c>
      <c r="B11" s="6" t="s">
        <v>448</v>
      </c>
      <c r="C11" s="6" t="s">
        <v>449</v>
      </c>
      <c r="D11" s="6" t="s">
        <v>450</v>
      </c>
      <c r="E11" s="6" t="s">
        <v>451</v>
      </c>
      <c r="F11" s="6" t="s">
        <v>452</v>
      </c>
      <c r="G11" s="6"/>
      <c r="H11" s="6" t="s">
        <v>453</v>
      </c>
    </row>
    <row r="12">
      <c r="A12" s="6" t="s">
        <v>19</v>
      </c>
      <c r="B12" s="6" t="s">
        <v>448</v>
      </c>
      <c r="C12" s="6" t="s">
        <v>449</v>
      </c>
      <c r="D12" s="6" t="s">
        <v>450</v>
      </c>
      <c r="E12" s="6" t="s">
        <v>451</v>
      </c>
      <c r="F12" s="6" t="s">
        <v>452</v>
      </c>
      <c r="G12" s="6"/>
      <c r="H12" s="6" t="s">
        <v>453</v>
      </c>
    </row>
    <row r="13">
      <c r="A13" s="6" t="s">
        <v>21</v>
      </c>
      <c r="B13" s="6" t="s">
        <v>448</v>
      </c>
      <c r="C13" s="6" t="s">
        <v>449</v>
      </c>
      <c r="D13" s="6" t="s">
        <v>450</v>
      </c>
      <c r="E13" s="6" t="s">
        <v>451</v>
      </c>
      <c r="F13" s="6" t="s">
        <v>452</v>
      </c>
      <c r="G13" s="6"/>
      <c r="H13" s="6" t="s">
        <v>453</v>
      </c>
    </row>
    <row r="14">
      <c r="A14" s="6" t="s">
        <v>22</v>
      </c>
      <c r="B14" s="6" t="s">
        <v>448</v>
      </c>
      <c r="C14" s="6" t="s">
        <v>449</v>
      </c>
      <c r="D14" s="6" t="s">
        <v>450</v>
      </c>
      <c r="E14" s="6" t="s">
        <v>451</v>
      </c>
      <c r="F14" s="6" t="s">
        <v>452</v>
      </c>
      <c r="G14" s="6"/>
      <c r="H14" s="6" t="s">
        <v>453</v>
      </c>
    </row>
    <row r="15">
      <c r="A15" s="6" t="s">
        <v>23</v>
      </c>
      <c r="B15" s="6" t="s">
        <v>448</v>
      </c>
      <c r="C15" s="6" t="s">
        <v>449</v>
      </c>
      <c r="D15" s="6" t="s">
        <v>450</v>
      </c>
      <c r="E15" s="6" t="s">
        <v>451</v>
      </c>
      <c r="F15" s="6" t="s">
        <v>452</v>
      </c>
      <c r="G15" s="6"/>
      <c r="H15" s="6" t="s">
        <v>453</v>
      </c>
    </row>
    <row r="16">
      <c r="A16" s="6" t="s">
        <v>24</v>
      </c>
      <c r="B16" s="6" t="s">
        <v>448</v>
      </c>
      <c r="C16" s="6" t="s">
        <v>449</v>
      </c>
      <c r="D16" s="6" t="s">
        <v>450</v>
      </c>
      <c r="E16" s="6" t="s">
        <v>451</v>
      </c>
      <c r="F16" s="6" t="s">
        <v>452</v>
      </c>
      <c r="G16" s="6"/>
      <c r="H16" s="6" t="s">
        <v>453</v>
      </c>
    </row>
    <row r="17">
      <c r="A17" s="6" t="s">
        <v>25</v>
      </c>
      <c r="B17" s="6" t="s">
        <v>448</v>
      </c>
      <c r="C17" s="6" t="s">
        <v>449</v>
      </c>
      <c r="D17" s="6" t="s">
        <v>450</v>
      </c>
      <c r="E17" s="6" t="s">
        <v>451</v>
      </c>
      <c r="F17" s="6" t="s">
        <v>452</v>
      </c>
      <c r="G17" s="6"/>
      <c r="H17" s="6" t="s">
        <v>453</v>
      </c>
    </row>
    <row r="18">
      <c r="A18" s="6" t="s">
        <v>26</v>
      </c>
      <c r="B18" s="6" t="s">
        <v>448</v>
      </c>
      <c r="C18" s="6" t="s">
        <v>449</v>
      </c>
      <c r="D18" s="6" t="s">
        <v>450</v>
      </c>
      <c r="E18" s="6" t="s">
        <v>451</v>
      </c>
      <c r="F18" s="6" t="s">
        <v>452</v>
      </c>
      <c r="G18" s="6"/>
      <c r="H18" s="6" t="s">
        <v>453</v>
      </c>
    </row>
    <row r="19">
      <c r="A19" s="6" t="s">
        <v>27</v>
      </c>
      <c r="B19" s="6" t="s">
        <v>448</v>
      </c>
      <c r="C19" s="6" t="s">
        <v>449</v>
      </c>
      <c r="D19" s="6" t="s">
        <v>450</v>
      </c>
      <c r="E19" s="6" t="s">
        <v>451</v>
      </c>
      <c r="F19" s="6" t="s">
        <v>452</v>
      </c>
      <c r="G19" s="6"/>
      <c r="H19" s="6" t="s">
        <v>453</v>
      </c>
    </row>
    <row r="20">
      <c r="A20" s="6" t="s">
        <v>29</v>
      </c>
      <c r="B20" s="6" t="s">
        <v>448</v>
      </c>
      <c r="C20" s="6" t="s">
        <v>449</v>
      </c>
      <c r="D20" s="6" t="s">
        <v>450</v>
      </c>
      <c r="E20" s="6" t="s">
        <v>451</v>
      </c>
      <c r="F20" s="6" t="s">
        <v>452</v>
      </c>
      <c r="G20" s="6"/>
      <c r="H20" s="6" t="s">
        <v>453</v>
      </c>
    </row>
    <row r="21" ht="15.75" customHeight="1">
      <c r="A21" s="6" t="s">
        <v>6</v>
      </c>
      <c r="B21" s="6" t="s">
        <v>482</v>
      </c>
      <c r="C21" s="6" t="s">
        <v>483</v>
      </c>
      <c r="D21" s="6" t="s">
        <v>484</v>
      </c>
      <c r="E21" s="6" t="s">
        <v>451</v>
      </c>
      <c r="F21" s="6" t="s">
        <v>452</v>
      </c>
      <c r="G21" s="6"/>
      <c r="H21" s="6" t="s">
        <v>485</v>
      </c>
    </row>
    <row r="22" ht="15.75" customHeight="1">
      <c r="A22" s="6" t="s">
        <v>7</v>
      </c>
      <c r="B22" s="6" t="s">
        <v>482</v>
      </c>
      <c r="C22" s="6" t="s">
        <v>483</v>
      </c>
      <c r="D22" s="6" t="s">
        <v>484</v>
      </c>
      <c r="E22" s="6" t="s">
        <v>451</v>
      </c>
      <c r="F22" s="6" t="s">
        <v>452</v>
      </c>
      <c r="G22" s="6"/>
      <c r="H22" s="6" t="s">
        <v>485</v>
      </c>
    </row>
    <row r="23" ht="15.75" customHeight="1">
      <c r="A23" s="6" t="s">
        <v>8</v>
      </c>
      <c r="B23" s="6" t="s">
        <v>482</v>
      </c>
      <c r="C23" s="6" t="s">
        <v>483</v>
      </c>
      <c r="D23" s="6" t="s">
        <v>484</v>
      </c>
      <c r="E23" s="6" t="s">
        <v>451</v>
      </c>
      <c r="F23" s="6" t="s">
        <v>452</v>
      </c>
      <c r="G23" s="6"/>
      <c r="H23" s="6" t="s">
        <v>485</v>
      </c>
    </row>
    <row r="24" ht="15.75" customHeight="1">
      <c r="A24" s="6" t="s">
        <v>9</v>
      </c>
      <c r="B24" s="6" t="s">
        <v>482</v>
      </c>
      <c r="C24" s="6" t="s">
        <v>483</v>
      </c>
      <c r="D24" s="6" t="s">
        <v>484</v>
      </c>
      <c r="E24" s="6" t="s">
        <v>451</v>
      </c>
      <c r="F24" s="6" t="s">
        <v>452</v>
      </c>
      <c r="G24" s="6"/>
      <c r="H24" s="6" t="s">
        <v>485</v>
      </c>
    </row>
    <row r="25" ht="15.75" customHeight="1">
      <c r="A25" s="6" t="s">
        <v>10</v>
      </c>
      <c r="B25" s="6" t="s">
        <v>482</v>
      </c>
      <c r="C25" s="6" t="s">
        <v>483</v>
      </c>
      <c r="D25" s="6" t="s">
        <v>484</v>
      </c>
      <c r="E25" s="6" t="s">
        <v>451</v>
      </c>
      <c r="F25" s="6" t="s">
        <v>452</v>
      </c>
      <c r="G25" s="6"/>
      <c r="H25" s="6" t="s">
        <v>485</v>
      </c>
    </row>
    <row r="26" ht="15.75" customHeight="1">
      <c r="A26" s="6" t="s">
        <v>11</v>
      </c>
      <c r="B26" s="6" t="s">
        <v>482</v>
      </c>
      <c r="C26" s="6" t="s">
        <v>483</v>
      </c>
      <c r="D26" s="6" t="s">
        <v>484</v>
      </c>
      <c r="E26" s="6" t="s">
        <v>451</v>
      </c>
      <c r="F26" s="6" t="s">
        <v>452</v>
      </c>
      <c r="G26" s="6"/>
      <c r="H26" s="6" t="s">
        <v>485</v>
      </c>
    </row>
    <row r="27" ht="15.75" customHeight="1">
      <c r="A27" s="6" t="s">
        <v>13</v>
      </c>
      <c r="B27" s="6" t="s">
        <v>482</v>
      </c>
      <c r="C27" s="6" t="s">
        <v>483</v>
      </c>
      <c r="D27" s="6" t="s">
        <v>484</v>
      </c>
      <c r="E27" s="6" t="s">
        <v>451</v>
      </c>
      <c r="F27" s="6" t="s">
        <v>452</v>
      </c>
      <c r="G27" s="6"/>
      <c r="H27" s="6" t="s">
        <v>485</v>
      </c>
    </row>
    <row r="28" ht="15.75" customHeight="1">
      <c r="A28" s="6" t="s">
        <v>15</v>
      </c>
      <c r="B28" s="6" t="s">
        <v>482</v>
      </c>
      <c r="C28" s="6" t="s">
        <v>483</v>
      </c>
      <c r="D28" s="6" t="s">
        <v>484</v>
      </c>
      <c r="E28" s="6" t="s">
        <v>451</v>
      </c>
      <c r="F28" s="6" t="s">
        <v>452</v>
      </c>
      <c r="G28" s="6"/>
      <c r="H28" s="6" t="s">
        <v>485</v>
      </c>
    </row>
    <row r="29" ht="15.75" customHeight="1">
      <c r="A29" s="6" t="s">
        <v>17</v>
      </c>
      <c r="B29" s="6" t="s">
        <v>482</v>
      </c>
      <c r="C29" s="6" t="s">
        <v>483</v>
      </c>
      <c r="D29" s="6" t="s">
        <v>484</v>
      </c>
      <c r="E29" s="6" t="s">
        <v>451</v>
      </c>
      <c r="F29" s="6" t="s">
        <v>452</v>
      </c>
      <c r="G29" s="6"/>
      <c r="H29" s="6" t="s">
        <v>485</v>
      </c>
    </row>
    <row r="30" ht="15.75" customHeight="1">
      <c r="A30" s="6" t="s">
        <v>20</v>
      </c>
      <c r="B30" s="6" t="s">
        <v>482</v>
      </c>
      <c r="C30" s="6" t="s">
        <v>483</v>
      </c>
      <c r="D30" s="6" t="s">
        <v>484</v>
      </c>
      <c r="E30" s="6" t="s">
        <v>451</v>
      </c>
      <c r="F30" s="6" t="s">
        <v>452</v>
      </c>
      <c r="G30" s="6"/>
      <c r="H30" s="6" t="s">
        <v>485</v>
      </c>
    </row>
    <row r="31" ht="15.75" customHeight="1">
      <c r="A31" s="6" t="s">
        <v>12</v>
      </c>
      <c r="B31" s="6" t="s">
        <v>482</v>
      </c>
      <c r="C31" s="6" t="s">
        <v>483</v>
      </c>
      <c r="D31" s="6" t="s">
        <v>484</v>
      </c>
      <c r="E31" s="6" t="s">
        <v>451</v>
      </c>
      <c r="F31" s="6" t="s">
        <v>452</v>
      </c>
      <c r="G31" s="6"/>
      <c r="H31" s="6" t="s">
        <v>485</v>
      </c>
    </row>
    <row r="32" ht="15.75" customHeight="1">
      <c r="A32" s="6" t="s">
        <v>14</v>
      </c>
      <c r="B32" s="6" t="s">
        <v>482</v>
      </c>
      <c r="C32" s="6" t="s">
        <v>483</v>
      </c>
      <c r="D32" s="6" t="s">
        <v>484</v>
      </c>
      <c r="E32" s="6" t="s">
        <v>451</v>
      </c>
      <c r="F32" s="6" t="s">
        <v>452</v>
      </c>
      <c r="G32" s="6"/>
      <c r="H32" s="6" t="s">
        <v>485</v>
      </c>
    </row>
    <row r="33" ht="15.75" customHeight="1">
      <c r="A33" s="6" t="s">
        <v>18</v>
      </c>
      <c r="B33" s="6" t="s">
        <v>482</v>
      </c>
      <c r="C33" s="6" t="s">
        <v>483</v>
      </c>
      <c r="D33" s="6" t="s">
        <v>484</v>
      </c>
      <c r="E33" s="6" t="s">
        <v>451</v>
      </c>
      <c r="F33" s="6" t="s">
        <v>452</v>
      </c>
      <c r="G33" s="6"/>
      <c r="H33" s="6" t="s">
        <v>485</v>
      </c>
    </row>
    <row r="34" ht="15.75" customHeight="1">
      <c r="A34" s="6" t="s">
        <v>16</v>
      </c>
      <c r="B34" s="6" t="s">
        <v>482</v>
      </c>
      <c r="C34" s="6" t="s">
        <v>483</v>
      </c>
      <c r="D34" s="6" t="s">
        <v>484</v>
      </c>
      <c r="E34" s="6" t="s">
        <v>451</v>
      </c>
      <c r="F34" s="6" t="s">
        <v>452</v>
      </c>
      <c r="G34" s="6"/>
      <c r="H34" s="6" t="s">
        <v>485</v>
      </c>
    </row>
    <row r="35" ht="15.75" customHeight="1">
      <c r="A35" s="6" t="s">
        <v>28</v>
      </c>
      <c r="B35" s="6" t="s">
        <v>482</v>
      </c>
      <c r="C35" s="6" t="s">
        <v>483</v>
      </c>
      <c r="D35" s="6" t="s">
        <v>484</v>
      </c>
      <c r="E35" s="6" t="s">
        <v>451</v>
      </c>
      <c r="F35" s="6" t="s">
        <v>452</v>
      </c>
      <c r="G35" s="6"/>
      <c r="H35" s="6" t="s">
        <v>485</v>
      </c>
    </row>
    <row r="36" ht="15.75" customHeight="1">
      <c r="A36" s="6" t="s">
        <v>30</v>
      </c>
      <c r="B36" s="6" t="s">
        <v>482</v>
      </c>
      <c r="C36" s="6" t="s">
        <v>483</v>
      </c>
      <c r="D36" s="6" t="s">
        <v>484</v>
      </c>
      <c r="E36" s="6" t="s">
        <v>451</v>
      </c>
      <c r="F36" s="6" t="s">
        <v>452</v>
      </c>
      <c r="G36" s="6"/>
      <c r="H36" s="6" t="s">
        <v>485</v>
      </c>
    </row>
    <row r="37" ht="15.75" customHeight="1">
      <c r="A37" s="6" t="s">
        <v>29</v>
      </c>
      <c r="B37" s="6" t="s">
        <v>482</v>
      </c>
      <c r="C37" s="6" t="s">
        <v>483</v>
      </c>
      <c r="D37" s="6" t="s">
        <v>484</v>
      </c>
      <c r="E37" s="6" t="s">
        <v>451</v>
      </c>
      <c r="F37" s="6" t="s">
        <v>452</v>
      </c>
      <c r="G37" s="6"/>
      <c r="H37" s="6" t="s">
        <v>485</v>
      </c>
    </row>
    <row r="38" ht="15.75" customHeight="1">
      <c r="A38" s="6" t="s">
        <v>34</v>
      </c>
      <c r="B38" s="6" t="s">
        <v>482</v>
      </c>
      <c r="C38" s="6" t="s">
        <v>483</v>
      </c>
      <c r="D38" s="6" t="s">
        <v>484</v>
      </c>
      <c r="E38" s="6" t="s">
        <v>451</v>
      </c>
      <c r="F38" s="6" t="s">
        <v>452</v>
      </c>
      <c r="G38" s="6"/>
      <c r="H38" s="6" t="s">
        <v>485</v>
      </c>
    </row>
    <row r="39" ht="15.75" customHeight="1">
      <c r="A39" s="6" t="s">
        <v>37</v>
      </c>
      <c r="B39" s="6" t="s">
        <v>482</v>
      </c>
      <c r="C39" s="6" t="s">
        <v>483</v>
      </c>
      <c r="D39" s="6" t="s">
        <v>484</v>
      </c>
      <c r="E39" s="6" t="s">
        <v>451</v>
      </c>
      <c r="F39" s="6" t="s">
        <v>452</v>
      </c>
      <c r="G39" s="6"/>
      <c r="H39" s="6" t="s">
        <v>485</v>
      </c>
    </row>
    <row r="40" ht="15.75" customHeight="1">
      <c r="A40" s="6" t="s">
        <v>6</v>
      </c>
      <c r="B40" s="6" t="s">
        <v>491</v>
      </c>
      <c r="C40" s="6" t="s">
        <v>280</v>
      </c>
      <c r="D40" s="6" t="s">
        <v>492</v>
      </c>
      <c r="E40" s="6" t="s">
        <v>493</v>
      </c>
      <c r="F40" s="6" t="s">
        <v>452</v>
      </c>
      <c r="G40" s="6"/>
      <c r="H40" s="6" t="s">
        <v>496</v>
      </c>
    </row>
    <row r="41" ht="15.75" customHeight="1">
      <c r="A41" s="6" t="s">
        <v>39</v>
      </c>
      <c r="B41" s="6" t="s">
        <v>491</v>
      </c>
      <c r="C41" s="6" t="s">
        <v>280</v>
      </c>
      <c r="D41" s="6" t="s">
        <v>492</v>
      </c>
      <c r="E41" s="6" t="s">
        <v>493</v>
      </c>
      <c r="F41" s="6" t="s">
        <v>452</v>
      </c>
      <c r="G41" s="6"/>
      <c r="H41" s="6" t="s">
        <v>496</v>
      </c>
    </row>
    <row r="42" ht="15.75" customHeight="1">
      <c r="A42" s="6" t="s">
        <v>40</v>
      </c>
      <c r="B42" s="6" t="s">
        <v>491</v>
      </c>
      <c r="C42" s="6" t="s">
        <v>280</v>
      </c>
      <c r="D42" s="6" t="s">
        <v>492</v>
      </c>
      <c r="E42" s="6" t="s">
        <v>493</v>
      </c>
      <c r="F42" s="6" t="s">
        <v>452</v>
      </c>
      <c r="G42" s="6"/>
      <c r="H42" s="6" t="s">
        <v>496</v>
      </c>
    </row>
    <row r="43" ht="15.75" customHeight="1">
      <c r="A43" s="6" t="s">
        <v>42</v>
      </c>
      <c r="B43" s="6" t="s">
        <v>491</v>
      </c>
      <c r="C43" s="6" t="s">
        <v>280</v>
      </c>
      <c r="D43" s="6" t="s">
        <v>492</v>
      </c>
      <c r="E43" s="6" t="s">
        <v>493</v>
      </c>
      <c r="F43" s="6" t="s">
        <v>452</v>
      </c>
      <c r="G43" s="6"/>
      <c r="H43" s="6" t="s">
        <v>496</v>
      </c>
    </row>
    <row r="44" ht="15.75" customHeight="1">
      <c r="A44" s="6" t="s">
        <v>44</v>
      </c>
      <c r="B44" s="6" t="s">
        <v>491</v>
      </c>
      <c r="C44" s="6" t="s">
        <v>280</v>
      </c>
      <c r="D44" s="6" t="s">
        <v>492</v>
      </c>
      <c r="E44" s="6" t="s">
        <v>493</v>
      </c>
      <c r="F44" s="6" t="s">
        <v>452</v>
      </c>
      <c r="G44" s="6"/>
      <c r="H44" s="6" t="s">
        <v>496</v>
      </c>
    </row>
    <row r="45" ht="15.75" customHeight="1">
      <c r="A45" s="6" t="s">
        <v>47</v>
      </c>
      <c r="B45" s="6" t="s">
        <v>491</v>
      </c>
      <c r="C45" s="6" t="s">
        <v>280</v>
      </c>
      <c r="D45" s="6" t="s">
        <v>492</v>
      </c>
      <c r="E45" s="6" t="s">
        <v>493</v>
      </c>
      <c r="F45" s="6" t="s">
        <v>452</v>
      </c>
      <c r="G45" s="6"/>
      <c r="H45" s="6" t="s">
        <v>496</v>
      </c>
    </row>
    <row r="46" ht="15.75" customHeight="1">
      <c r="A46" s="6" t="s">
        <v>50</v>
      </c>
      <c r="B46" s="6" t="s">
        <v>491</v>
      </c>
      <c r="C46" s="6" t="s">
        <v>280</v>
      </c>
      <c r="D46" s="6" t="s">
        <v>492</v>
      </c>
      <c r="E46" s="6" t="s">
        <v>493</v>
      </c>
      <c r="F46" s="6" t="s">
        <v>452</v>
      </c>
      <c r="G46" s="6"/>
      <c r="H46" s="6" t="s">
        <v>496</v>
      </c>
    </row>
    <row r="47" ht="15.75" customHeight="1">
      <c r="A47" s="6" t="s">
        <v>53</v>
      </c>
      <c r="B47" s="6" t="s">
        <v>491</v>
      </c>
      <c r="C47" s="6" t="s">
        <v>280</v>
      </c>
      <c r="D47" s="6" t="s">
        <v>492</v>
      </c>
      <c r="E47" s="6" t="s">
        <v>493</v>
      </c>
      <c r="F47" s="6" t="s">
        <v>452</v>
      </c>
      <c r="G47" s="6"/>
      <c r="H47" s="6" t="s">
        <v>496</v>
      </c>
    </row>
    <row r="48" ht="15.75" customHeight="1">
      <c r="A48" s="6" t="s">
        <v>56</v>
      </c>
      <c r="B48" s="6" t="s">
        <v>491</v>
      </c>
      <c r="C48" s="6" t="s">
        <v>280</v>
      </c>
      <c r="D48" s="6" t="s">
        <v>492</v>
      </c>
      <c r="E48" s="6" t="s">
        <v>493</v>
      </c>
      <c r="F48" s="6" t="s">
        <v>452</v>
      </c>
      <c r="G48" s="6"/>
      <c r="H48" s="6" t="s">
        <v>496</v>
      </c>
    </row>
    <row r="49" ht="15.75" customHeight="1">
      <c r="A49" s="6" t="s">
        <v>58</v>
      </c>
      <c r="B49" s="6" t="s">
        <v>491</v>
      </c>
      <c r="C49" s="6" t="s">
        <v>280</v>
      </c>
      <c r="D49" s="6" t="s">
        <v>492</v>
      </c>
      <c r="E49" s="6" t="s">
        <v>493</v>
      </c>
      <c r="F49" s="6" t="s">
        <v>452</v>
      </c>
      <c r="G49" s="6"/>
      <c r="H49" s="6" t="s">
        <v>496</v>
      </c>
    </row>
    <row r="50" ht="15.75" customHeight="1">
      <c r="A50" s="6" t="s">
        <v>59</v>
      </c>
      <c r="B50" s="6" t="s">
        <v>491</v>
      </c>
      <c r="C50" s="6" t="s">
        <v>280</v>
      </c>
      <c r="D50" s="6" t="s">
        <v>492</v>
      </c>
      <c r="E50" s="6" t="s">
        <v>493</v>
      </c>
      <c r="F50" s="6" t="s">
        <v>452</v>
      </c>
      <c r="G50" s="6"/>
      <c r="H50" s="6" t="s">
        <v>496</v>
      </c>
    </row>
    <row r="51" ht="15.75" customHeight="1">
      <c r="A51" s="6" t="s">
        <v>60</v>
      </c>
      <c r="B51" s="6" t="s">
        <v>491</v>
      </c>
      <c r="C51" s="6" t="s">
        <v>280</v>
      </c>
      <c r="D51" s="6" t="s">
        <v>492</v>
      </c>
      <c r="E51" s="6" t="s">
        <v>493</v>
      </c>
      <c r="F51" s="6" t="s">
        <v>452</v>
      </c>
      <c r="G51" s="6"/>
      <c r="H51" s="6" t="s">
        <v>496</v>
      </c>
    </row>
    <row r="52" ht="15.75" customHeight="1">
      <c r="A52" s="6" t="s">
        <v>61</v>
      </c>
      <c r="B52" s="6" t="s">
        <v>491</v>
      </c>
      <c r="C52" s="6" t="s">
        <v>280</v>
      </c>
      <c r="D52" s="6" t="s">
        <v>492</v>
      </c>
      <c r="E52" s="6" t="s">
        <v>493</v>
      </c>
      <c r="F52" s="6" t="s">
        <v>452</v>
      </c>
      <c r="G52" s="6"/>
      <c r="H52" s="6" t="s">
        <v>496</v>
      </c>
    </row>
    <row r="53" ht="15.75" customHeight="1">
      <c r="A53" s="6" t="s">
        <v>62</v>
      </c>
      <c r="B53" s="6" t="s">
        <v>491</v>
      </c>
      <c r="C53" s="6" t="s">
        <v>280</v>
      </c>
      <c r="D53" s="6" t="s">
        <v>492</v>
      </c>
      <c r="E53" s="6" t="s">
        <v>493</v>
      </c>
      <c r="F53" s="6" t="s">
        <v>452</v>
      </c>
      <c r="G53" s="6"/>
      <c r="H53" s="6" t="s">
        <v>496</v>
      </c>
    </row>
    <row r="54" ht="15.75" customHeight="1">
      <c r="A54" s="6" t="s">
        <v>30</v>
      </c>
      <c r="B54" s="6" t="s">
        <v>491</v>
      </c>
      <c r="C54" s="6" t="s">
        <v>280</v>
      </c>
      <c r="D54" s="6" t="s">
        <v>492</v>
      </c>
      <c r="E54" s="6" t="s">
        <v>493</v>
      </c>
      <c r="F54" s="6" t="s">
        <v>452</v>
      </c>
      <c r="G54" s="6"/>
      <c r="H54" s="6" t="s">
        <v>496</v>
      </c>
    </row>
    <row r="55" ht="15.75" customHeight="1">
      <c r="A55" s="6" t="s">
        <v>64</v>
      </c>
      <c r="B55" s="6" t="s">
        <v>491</v>
      </c>
      <c r="C55" s="6" t="s">
        <v>280</v>
      </c>
      <c r="D55" s="6" t="s">
        <v>492</v>
      </c>
      <c r="E55" s="6" t="s">
        <v>493</v>
      </c>
      <c r="F55" s="6" t="s">
        <v>452</v>
      </c>
      <c r="G55" s="6"/>
      <c r="H55" s="6" t="s">
        <v>496</v>
      </c>
    </row>
    <row r="56" ht="15.75" customHeight="1">
      <c r="A56" s="6" t="s">
        <v>66</v>
      </c>
      <c r="B56" s="6" t="s">
        <v>491</v>
      </c>
      <c r="C56" s="6" t="s">
        <v>280</v>
      </c>
      <c r="D56" s="6" t="s">
        <v>492</v>
      </c>
      <c r="E56" s="6" t="s">
        <v>493</v>
      </c>
      <c r="F56" s="6" t="s">
        <v>266</v>
      </c>
      <c r="G56" s="6"/>
      <c r="H56" s="6" t="s">
        <v>496</v>
      </c>
    </row>
    <row r="57" ht="15.75" customHeight="1">
      <c r="A57" s="6" t="s">
        <v>69</v>
      </c>
      <c r="B57" s="6" t="s">
        <v>491</v>
      </c>
      <c r="C57" s="6" t="s">
        <v>280</v>
      </c>
      <c r="D57" s="6" t="s">
        <v>492</v>
      </c>
      <c r="E57" s="6" t="s">
        <v>493</v>
      </c>
      <c r="F57" s="6" t="s">
        <v>266</v>
      </c>
      <c r="G57" s="6"/>
      <c r="H57" s="6" t="s">
        <v>496</v>
      </c>
    </row>
    <row r="58" ht="15.75" customHeight="1">
      <c r="A58" s="6" t="s">
        <v>6</v>
      </c>
      <c r="B58" s="6" t="s">
        <v>507</v>
      </c>
      <c r="C58" s="6" t="s">
        <v>508</v>
      </c>
      <c r="D58" s="6" t="s">
        <v>484</v>
      </c>
      <c r="E58" s="6" t="s">
        <v>451</v>
      </c>
      <c r="F58" s="6" t="s">
        <v>452</v>
      </c>
      <c r="G58" s="6"/>
      <c r="H58" s="6" t="s">
        <v>511</v>
      </c>
    </row>
    <row r="59" ht="15.75" customHeight="1">
      <c r="A59" s="6" t="s">
        <v>304</v>
      </c>
      <c r="B59" s="6" t="s">
        <v>507</v>
      </c>
      <c r="C59" s="6" t="s">
        <v>508</v>
      </c>
      <c r="D59" s="6" t="s">
        <v>484</v>
      </c>
      <c r="E59" s="6" t="s">
        <v>451</v>
      </c>
      <c r="F59" s="6" t="s">
        <v>452</v>
      </c>
      <c r="G59" s="6"/>
      <c r="H59" s="6" t="s">
        <v>511</v>
      </c>
    </row>
    <row r="60" ht="15.75" customHeight="1">
      <c r="A60" s="6" t="s">
        <v>305</v>
      </c>
      <c r="B60" s="6" t="s">
        <v>507</v>
      </c>
      <c r="C60" s="6" t="s">
        <v>508</v>
      </c>
      <c r="D60" s="6" t="s">
        <v>484</v>
      </c>
      <c r="E60" s="6" t="s">
        <v>451</v>
      </c>
      <c r="F60" s="6" t="s">
        <v>452</v>
      </c>
      <c r="G60" s="6"/>
      <c r="H60" s="6" t="s">
        <v>511</v>
      </c>
    </row>
    <row r="61" ht="15.75" customHeight="1">
      <c r="A61" s="6" t="s">
        <v>306</v>
      </c>
      <c r="B61" s="6" t="s">
        <v>507</v>
      </c>
      <c r="C61" s="6" t="s">
        <v>508</v>
      </c>
      <c r="D61" s="6" t="s">
        <v>484</v>
      </c>
      <c r="E61" s="6" t="s">
        <v>451</v>
      </c>
      <c r="F61" s="6" t="s">
        <v>452</v>
      </c>
      <c r="G61" s="6"/>
      <c r="H61" s="6" t="s">
        <v>511</v>
      </c>
    </row>
    <row r="62" ht="15.75" customHeight="1">
      <c r="A62" s="6" t="s">
        <v>307</v>
      </c>
      <c r="B62" s="6" t="s">
        <v>507</v>
      </c>
      <c r="C62" s="6" t="s">
        <v>508</v>
      </c>
      <c r="D62" s="6" t="s">
        <v>484</v>
      </c>
      <c r="E62" s="6" t="s">
        <v>451</v>
      </c>
      <c r="F62" s="6" t="s">
        <v>452</v>
      </c>
      <c r="G62" s="6"/>
      <c r="H62" s="6" t="s">
        <v>511</v>
      </c>
    </row>
    <row r="63" ht="15.75" customHeight="1">
      <c r="A63" s="6" t="s">
        <v>308</v>
      </c>
      <c r="B63" s="6" t="s">
        <v>507</v>
      </c>
      <c r="C63" s="6" t="s">
        <v>508</v>
      </c>
      <c r="D63" s="6" t="s">
        <v>484</v>
      </c>
      <c r="E63" s="6" t="s">
        <v>451</v>
      </c>
      <c r="F63" s="6" t="s">
        <v>452</v>
      </c>
      <c r="G63" s="6"/>
      <c r="H63" s="6" t="s">
        <v>511</v>
      </c>
    </row>
    <row r="64" ht="15.75" customHeight="1">
      <c r="A64" s="6" t="s">
        <v>309</v>
      </c>
      <c r="B64" s="6" t="s">
        <v>507</v>
      </c>
      <c r="C64" s="6" t="s">
        <v>508</v>
      </c>
      <c r="D64" s="6" t="s">
        <v>484</v>
      </c>
      <c r="E64" s="6" t="s">
        <v>451</v>
      </c>
      <c r="F64" s="6" t="s">
        <v>452</v>
      </c>
      <c r="G64" s="6"/>
      <c r="H64" s="6" t="s">
        <v>511</v>
      </c>
    </row>
    <row r="65" ht="15.75" customHeight="1">
      <c r="A65" s="6" t="s">
        <v>310</v>
      </c>
      <c r="B65" s="6" t="s">
        <v>507</v>
      </c>
      <c r="C65" s="6" t="s">
        <v>508</v>
      </c>
      <c r="D65" s="6" t="s">
        <v>484</v>
      </c>
      <c r="E65" s="6" t="s">
        <v>451</v>
      </c>
      <c r="F65" s="6" t="s">
        <v>452</v>
      </c>
      <c r="G65" s="6"/>
      <c r="H65" s="6" t="s">
        <v>511</v>
      </c>
    </row>
    <row r="66" ht="15.75" customHeight="1">
      <c r="A66" s="6" t="s">
        <v>311</v>
      </c>
      <c r="B66" s="6" t="s">
        <v>507</v>
      </c>
      <c r="C66" s="6" t="s">
        <v>508</v>
      </c>
      <c r="D66" s="6" t="s">
        <v>484</v>
      </c>
      <c r="E66" s="6" t="s">
        <v>451</v>
      </c>
      <c r="F66" s="6" t="s">
        <v>452</v>
      </c>
      <c r="G66" s="6"/>
      <c r="H66" s="6" t="s">
        <v>511</v>
      </c>
    </row>
    <row r="67" ht="15.75" customHeight="1">
      <c r="A67" s="6" t="s">
        <v>14</v>
      </c>
      <c r="B67" s="6" t="s">
        <v>507</v>
      </c>
      <c r="C67" s="6" t="s">
        <v>508</v>
      </c>
      <c r="D67" s="6" t="s">
        <v>484</v>
      </c>
      <c r="E67" s="6" t="s">
        <v>451</v>
      </c>
      <c r="F67" s="6" t="s">
        <v>452</v>
      </c>
      <c r="G67" s="6"/>
      <c r="H67" s="6" t="s">
        <v>511</v>
      </c>
    </row>
    <row r="68" ht="15.75" customHeight="1">
      <c r="A68" s="6" t="s">
        <v>12</v>
      </c>
      <c r="B68" s="6" t="s">
        <v>507</v>
      </c>
      <c r="C68" s="6" t="s">
        <v>508</v>
      </c>
      <c r="D68" s="6" t="s">
        <v>484</v>
      </c>
      <c r="E68" s="6" t="s">
        <v>451</v>
      </c>
      <c r="F68" s="6" t="s">
        <v>452</v>
      </c>
      <c r="G68" s="6"/>
      <c r="H68" s="6" t="s">
        <v>511</v>
      </c>
    </row>
    <row r="69" ht="15.75" customHeight="1">
      <c r="A69" s="6" t="s">
        <v>312</v>
      </c>
      <c r="B69" s="6" t="s">
        <v>507</v>
      </c>
      <c r="C69" s="6" t="s">
        <v>508</v>
      </c>
      <c r="D69" s="6" t="s">
        <v>484</v>
      </c>
      <c r="E69" s="6" t="s">
        <v>451</v>
      </c>
      <c r="F69" s="6" t="s">
        <v>452</v>
      </c>
      <c r="G69" s="6"/>
      <c r="H69" s="6" t="s">
        <v>511</v>
      </c>
    </row>
    <row r="70" ht="15.75" customHeight="1">
      <c r="A70" s="6" t="s">
        <v>105</v>
      </c>
      <c r="B70" s="6" t="s">
        <v>507</v>
      </c>
      <c r="C70" s="6" t="s">
        <v>508</v>
      </c>
      <c r="D70" s="6" t="s">
        <v>484</v>
      </c>
      <c r="E70" s="6" t="s">
        <v>451</v>
      </c>
      <c r="F70" s="6" t="s">
        <v>452</v>
      </c>
      <c r="G70" s="6"/>
      <c r="H70" s="6" t="s">
        <v>511</v>
      </c>
    </row>
    <row r="71" ht="15.75" customHeight="1">
      <c r="A71" s="6" t="s">
        <v>107</v>
      </c>
      <c r="B71" s="6" t="s">
        <v>507</v>
      </c>
      <c r="C71" s="6" t="s">
        <v>508</v>
      </c>
      <c r="D71" s="6" t="s">
        <v>484</v>
      </c>
      <c r="E71" s="6" t="s">
        <v>451</v>
      </c>
      <c r="F71" s="6" t="s">
        <v>452</v>
      </c>
      <c r="G71" s="6"/>
      <c r="H71" s="6" t="s">
        <v>511</v>
      </c>
    </row>
    <row r="72" ht="15.75" customHeight="1">
      <c r="A72" s="6" t="s">
        <v>15</v>
      </c>
      <c r="B72" s="6" t="s">
        <v>507</v>
      </c>
      <c r="C72" s="6" t="s">
        <v>508</v>
      </c>
      <c r="D72" s="6" t="s">
        <v>484</v>
      </c>
      <c r="E72" s="6" t="s">
        <v>451</v>
      </c>
      <c r="F72" s="6" t="s">
        <v>452</v>
      </c>
      <c r="G72" s="6"/>
      <c r="H72" s="6" t="s">
        <v>511</v>
      </c>
    </row>
    <row r="73" ht="15.75" customHeight="1">
      <c r="A73" s="6" t="s">
        <v>110</v>
      </c>
      <c r="B73" s="6" t="s">
        <v>507</v>
      </c>
      <c r="C73" s="6" t="s">
        <v>508</v>
      </c>
      <c r="D73" s="6" t="s">
        <v>484</v>
      </c>
      <c r="E73" s="6" t="s">
        <v>451</v>
      </c>
      <c r="F73" s="6" t="s">
        <v>452</v>
      </c>
      <c r="G73" s="6"/>
      <c r="H73" s="6" t="s">
        <v>511</v>
      </c>
    </row>
    <row r="74" ht="15.75" customHeight="1">
      <c r="A74" s="6" t="s">
        <v>111</v>
      </c>
      <c r="B74" s="6" t="s">
        <v>507</v>
      </c>
      <c r="C74" s="6" t="s">
        <v>508</v>
      </c>
      <c r="D74" s="6" t="s">
        <v>484</v>
      </c>
      <c r="E74" s="6" t="s">
        <v>451</v>
      </c>
      <c r="F74" s="6" t="s">
        <v>452</v>
      </c>
      <c r="G74" s="6"/>
      <c r="H74" s="6" t="s">
        <v>511</v>
      </c>
    </row>
    <row r="75" ht="15.75" customHeight="1">
      <c r="A75" s="6" t="s">
        <v>112</v>
      </c>
      <c r="B75" s="6" t="s">
        <v>507</v>
      </c>
      <c r="C75" s="6" t="s">
        <v>508</v>
      </c>
      <c r="D75" s="6" t="s">
        <v>484</v>
      </c>
      <c r="E75" s="6" t="s">
        <v>451</v>
      </c>
      <c r="F75" s="6" t="s">
        <v>452</v>
      </c>
      <c r="G75" s="6"/>
      <c r="H75" s="6" t="s">
        <v>511</v>
      </c>
    </row>
    <row r="76" ht="15.75" customHeight="1">
      <c r="A76" s="6" t="s">
        <v>113</v>
      </c>
      <c r="B76" s="6" t="s">
        <v>507</v>
      </c>
      <c r="C76" s="6" t="s">
        <v>508</v>
      </c>
      <c r="D76" s="6" t="s">
        <v>484</v>
      </c>
      <c r="E76" s="6" t="s">
        <v>451</v>
      </c>
      <c r="F76" s="6" t="s">
        <v>452</v>
      </c>
      <c r="G76" s="6"/>
      <c r="H76" s="6" t="s">
        <v>511</v>
      </c>
    </row>
    <row r="77" ht="15.75" customHeight="1">
      <c r="A77" s="6" t="s">
        <v>313</v>
      </c>
      <c r="B77" s="6" t="s">
        <v>507</v>
      </c>
      <c r="C77" s="6" t="s">
        <v>508</v>
      </c>
      <c r="D77" s="6" t="s">
        <v>484</v>
      </c>
      <c r="E77" s="6" t="s">
        <v>451</v>
      </c>
      <c r="F77" s="6" t="s">
        <v>452</v>
      </c>
      <c r="G77" s="6"/>
      <c r="H77" s="6" t="s">
        <v>511</v>
      </c>
    </row>
    <row r="78" ht="15.75" customHeight="1">
      <c r="A78" s="6" t="s">
        <v>114</v>
      </c>
      <c r="B78" s="6" t="s">
        <v>507</v>
      </c>
      <c r="C78" s="6" t="s">
        <v>508</v>
      </c>
      <c r="D78" s="6" t="s">
        <v>484</v>
      </c>
      <c r="E78" s="6" t="s">
        <v>451</v>
      </c>
      <c r="F78" s="6" t="s">
        <v>452</v>
      </c>
      <c r="G78" s="6"/>
      <c r="H78" s="6" t="s">
        <v>511</v>
      </c>
    </row>
    <row r="79" ht="15.75" customHeight="1">
      <c r="A79" s="6" t="s">
        <v>314</v>
      </c>
      <c r="B79" s="6" t="s">
        <v>507</v>
      </c>
      <c r="C79" s="6" t="s">
        <v>508</v>
      </c>
      <c r="D79" s="6" t="s">
        <v>484</v>
      </c>
      <c r="E79" s="6" t="s">
        <v>451</v>
      </c>
      <c r="F79" s="6" t="s">
        <v>452</v>
      </c>
      <c r="G79" s="6"/>
      <c r="H79" s="6" t="s">
        <v>511</v>
      </c>
    </row>
    <row r="80" ht="15.75" customHeight="1">
      <c r="A80" s="6" t="s">
        <v>315</v>
      </c>
      <c r="B80" s="6" t="s">
        <v>507</v>
      </c>
      <c r="C80" s="6" t="s">
        <v>508</v>
      </c>
      <c r="D80" s="6" t="s">
        <v>484</v>
      </c>
      <c r="E80" s="6" t="s">
        <v>451</v>
      </c>
      <c r="F80" s="6" t="s">
        <v>452</v>
      </c>
      <c r="G80" s="6"/>
      <c r="H80" s="6" t="s">
        <v>511</v>
      </c>
    </row>
    <row r="81" ht="15.75" customHeight="1">
      <c r="A81" s="6" t="s">
        <v>115</v>
      </c>
      <c r="B81" s="6" t="s">
        <v>507</v>
      </c>
      <c r="C81" s="6" t="s">
        <v>508</v>
      </c>
      <c r="D81" s="6" t="s">
        <v>484</v>
      </c>
      <c r="E81" s="6" t="s">
        <v>451</v>
      </c>
      <c r="F81" s="6" t="s">
        <v>266</v>
      </c>
      <c r="G81" s="6"/>
      <c r="H81" s="6" t="s">
        <v>511</v>
      </c>
    </row>
    <row r="82" ht="15.75" customHeight="1">
      <c r="A82" s="6" t="s">
        <v>116</v>
      </c>
      <c r="B82" s="6" t="s">
        <v>531</v>
      </c>
      <c r="C82" s="6" t="s">
        <v>2</v>
      </c>
      <c r="D82" s="6" t="s">
        <v>492</v>
      </c>
      <c r="E82" s="6" t="s">
        <v>532</v>
      </c>
      <c r="F82" s="6" t="s">
        <v>266</v>
      </c>
      <c r="G82" s="6" t="s">
        <v>533</v>
      </c>
      <c r="H82" s="6" t="s">
        <v>534</v>
      </c>
    </row>
    <row r="83" ht="15.75" customHeight="1">
      <c r="A83" s="6" t="s">
        <v>117</v>
      </c>
      <c r="B83" s="6" t="s">
        <v>531</v>
      </c>
      <c r="C83" s="6" t="s">
        <v>2</v>
      </c>
      <c r="D83" s="6" t="s">
        <v>492</v>
      </c>
      <c r="E83" s="6" t="s">
        <v>532</v>
      </c>
      <c r="F83" s="6" t="s">
        <v>266</v>
      </c>
      <c r="G83" s="6" t="s">
        <v>533</v>
      </c>
      <c r="H83" s="6" t="s">
        <v>534</v>
      </c>
    </row>
    <row r="84" ht="15.75" customHeight="1">
      <c r="A84" s="6" t="s">
        <v>118</v>
      </c>
      <c r="B84" s="6" t="s">
        <v>531</v>
      </c>
      <c r="C84" s="6" t="s">
        <v>2</v>
      </c>
      <c r="D84" s="6" t="s">
        <v>492</v>
      </c>
      <c r="E84" s="6" t="s">
        <v>532</v>
      </c>
      <c r="F84" s="6" t="s">
        <v>266</v>
      </c>
      <c r="G84" s="6" t="s">
        <v>533</v>
      </c>
      <c r="H84" s="6" t="s">
        <v>534</v>
      </c>
    </row>
    <row r="85" ht="15.75" customHeight="1">
      <c r="A85" s="6" t="s">
        <v>121</v>
      </c>
      <c r="B85" s="6" t="s">
        <v>531</v>
      </c>
      <c r="C85" s="6" t="s">
        <v>2</v>
      </c>
      <c r="D85" s="6" t="s">
        <v>492</v>
      </c>
      <c r="E85" s="6" t="s">
        <v>532</v>
      </c>
      <c r="F85" s="6" t="s">
        <v>266</v>
      </c>
      <c r="G85" s="6" t="s">
        <v>533</v>
      </c>
      <c r="H85" s="6" t="s">
        <v>534</v>
      </c>
    </row>
    <row r="86" ht="15.75" customHeight="1">
      <c r="A86" s="6" t="s">
        <v>123</v>
      </c>
      <c r="B86" s="6" t="s">
        <v>531</v>
      </c>
      <c r="C86" s="6" t="s">
        <v>2</v>
      </c>
      <c r="D86" s="6" t="s">
        <v>492</v>
      </c>
      <c r="E86" s="6" t="s">
        <v>532</v>
      </c>
      <c r="F86" s="6" t="s">
        <v>266</v>
      </c>
      <c r="G86" s="6" t="s">
        <v>533</v>
      </c>
      <c r="H86" s="6" t="s">
        <v>534</v>
      </c>
    </row>
    <row r="87" ht="15.75" customHeight="1">
      <c r="A87" s="6" t="s">
        <v>66</v>
      </c>
      <c r="B87" s="6" t="s">
        <v>531</v>
      </c>
      <c r="C87" s="6" t="s">
        <v>2</v>
      </c>
      <c r="D87" s="6" t="s">
        <v>492</v>
      </c>
      <c r="E87" s="6" t="s">
        <v>532</v>
      </c>
      <c r="F87" s="6" t="s">
        <v>266</v>
      </c>
      <c r="G87" s="6" t="s">
        <v>533</v>
      </c>
      <c r="H87" s="6" t="s">
        <v>534</v>
      </c>
    </row>
    <row r="88" ht="15.75" customHeight="1">
      <c r="A88" s="6" t="s">
        <v>126</v>
      </c>
      <c r="B88" s="6" t="s">
        <v>531</v>
      </c>
      <c r="C88" s="6" t="s">
        <v>2</v>
      </c>
      <c r="D88" s="6" t="s">
        <v>492</v>
      </c>
      <c r="E88" s="6" t="s">
        <v>532</v>
      </c>
      <c r="F88" s="6" t="s">
        <v>266</v>
      </c>
      <c r="G88" s="6" t="s">
        <v>533</v>
      </c>
      <c r="H88" s="6" t="s">
        <v>534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10.0"/>
    <col customWidth="1" min="3" max="26" width="8.57"/>
  </cols>
  <sheetData>
    <row r="1" ht="30.0" customHeight="1">
      <c r="A1" s="1" t="s">
        <v>454</v>
      </c>
      <c r="B1" s="3"/>
    </row>
    <row r="2">
      <c r="A2" s="4" t="s">
        <v>455</v>
      </c>
      <c r="B2" s="5"/>
    </row>
    <row r="3">
      <c r="A3" s="6"/>
      <c r="B3" s="6"/>
    </row>
    <row r="4" ht="54.75" customHeight="1">
      <c r="A4" s="6" t="s">
        <v>456</v>
      </c>
      <c r="B4" s="21" t="s">
        <v>260</v>
      </c>
    </row>
    <row r="5" ht="54.75" customHeight="1">
      <c r="A5" s="6" t="s">
        <v>457</v>
      </c>
      <c r="B5" s="21" t="s">
        <v>458</v>
      </c>
    </row>
    <row r="6" ht="54.75" customHeight="1">
      <c r="A6" s="6" t="s">
        <v>459</v>
      </c>
      <c r="B6" s="21" t="s">
        <v>460</v>
      </c>
    </row>
    <row r="7" ht="54.75" customHeight="1">
      <c r="A7" s="6" t="s">
        <v>461</v>
      </c>
      <c r="B7" s="21" t="s">
        <v>462</v>
      </c>
    </row>
    <row r="8" ht="54.75" customHeight="1">
      <c r="A8" s="6" t="s">
        <v>463</v>
      </c>
      <c r="B8" s="21" t="s">
        <v>464</v>
      </c>
    </row>
    <row r="9" ht="54.75" customHeight="1">
      <c r="A9" s="6" t="s">
        <v>465</v>
      </c>
      <c r="B9" s="21" t="s">
        <v>466</v>
      </c>
    </row>
    <row r="10" ht="54.75" customHeight="1">
      <c r="A10" s="6" t="s">
        <v>467</v>
      </c>
      <c r="B10" s="21" t="s">
        <v>468</v>
      </c>
    </row>
    <row r="11" ht="54.75" customHeight="1">
      <c r="A11" s="6" t="s">
        <v>469</v>
      </c>
      <c r="B11" s="21" t="s">
        <v>470</v>
      </c>
    </row>
    <row r="12" ht="54.75" customHeight="1">
      <c r="A12" s="6" t="s">
        <v>397</v>
      </c>
      <c r="B12" s="21" t="s">
        <v>471</v>
      </c>
    </row>
    <row r="13" ht="54.75" customHeight="1">
      <c r="A13" s="6" t="s">
        <v>472</v>
      </c>
      <c r="B13" s="21" t="s">
        <v>473</v>
      </c>
    </row>
    <row r="14" ht="54.75" customHeight="1">
      <c r="A14" s="6" t="s">
        <v>474</v>
      </c>
      <c r="B14" s="21" t="s">
        <v>475</v>
      </c>
    </row>
    <row r="15" ht="54.75" customHeight="1">
      <c r="A15" s="6" t="s">
        <v>476</v>
      </c>
      <c r="B15" s="21" t="s">
        <v>477</v>
      </c>
    </row>
    <row r="16" ht="54.75" customHeight="1">
      <c r="A16" s="6" t="s">
        <v>478</v>
      </c>
      <c r="B16" s="21" t="s">
        <v>479</v>
      </c>
    </row>
    <row r="17">
      <c r="A17" s="6" t="s">
        <v>480</v>
      </c>
      <c r="B17" s="6" t="s">
        <v>481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8.0"/>
    <col customWidth="1" min="2" max="2" width="16.0"/>
    <col customWidth="1" min="3" max="3" width="95.0"/>
    <col customWidth="1" min="4" max="26" width="8.57"/>
  </cols>
  <sheetData>
    <row r="1" ht="30.0" customHeight="1">
      <c r="A1" s="1" t="s">
        <v>486</v>
      </c>
      <c r="B1" s="2"/>
      <c r="C1" s="3"/>
    </row>
    <row r="2">
      <c r="A2" s="4" t="s">
        <v>487</v>
      </c>
      <c r="B2" s="5"/>
      <c r="C2" s="5"/>
    </row>
    <row r="3">
      <c r="A3" s="6"/>
      <c r="B3" s="6"/>
      <c r="C3" s="6"/>
    </row>
    <row r="4">
      <c r="A4" s="6" t="s">
        <v>488</v>
      </c>
      <c r="B4" s="6" t="s">
        <v>333</v>
      </c>
      <c r="C4" s="6" t="s">
        <v>489</v>
      </c>
    </row>
    <row r="5">
      <c r="A5" s="6" t="s">
        <v>490</v>
      </c>
      <c r="B5" s="6" t="str">
        <f>IF(COUNTA(BASE_CONSOLIDADA!A5:A34)&gt;=20,"OK","ERROR")</f>
        <v>OK</v>
      </c>
      <c r="C5" s="6" t="s">
        <v>494</v>
      </c>
    </row>
    <row r="6">
      <c r="A6" s="6" t="s">
        <v>495</v>
      </c>
      <c r="B6" s="6" t="str">
        <f t="array" ref="B6">IF(SUMPRODUCT((COUNTIF(BASE_CONSOLIDADA!A5:A34,BASE_CONSOLIDADA!A5:A34)&gt;1)*1)=0,"OK","ERROR")</f>
        <v>OK</v>
      </c>
      <c r="C6" s="6" t="s">
        <v>497</v>
      </c>
    </row>
    <row r="7">
      <c r="A7" s="6" t="s">
        <v>498</v>
      </c>
      <c r="B7" s="6" t="str">
        <f>IF(AND(COUNTA(NOMINA!A2:A31)=COUNTA(PERSONAL!A2:A31),COUNTA(NOMINA!A2:A31)=COUNTA(RRHH!A2:A31),COUNTA(NOMINA!A2:A31)=COUNTA(CONTRATACION!A2:A31)),"OK","ERROR")</f>
        <v>OK</v>
      </c>
      <c r="C7" s="6" t="s">
        <v>499</v>
      </c>
    </row>
    <row r="8">
      <c r="A8" s="6" t="s">
        <v>500</v>
      </c>
      <c r="B8" s="6" t="str">
        <f>IF(AND(COUNTIF(BASE_CONSOLIDADA!P5:P34,"ACTIVO")&gt;0,COUNTIF(BASE_CONSOLIDADA!P5:P34,"RETIRADO")&gt;0),"OK","ERROR")</f>
        <v>OK</v>
      </c>
      <c r="C8" s="6" t="s">
        <v>501</v>
      </c>
    </row>
    <row r="9">
      <c r="A9" s="6" t="s">
        <v>502</v>
      </c>
      <c r="B9" s="6" t="str">
        <f>IF(SUMPRODUCT(--(BASE_CONSOLIDADA!P5:P34="RETIRADO"),--(BASE_CONSOLIDADA!Q5:Q34&lt;=BASE_CONSOLIDADA!L5:L34))=0,"OK","ERROR")</f>
        <v>OK</v>
      </c>
      <c r="C9" s="6" t="s">
        <v>503</v>
      </c>
    </row>
    <row r="10">
      <c r="A10" s="6" t="s">
        <v>504</v>
      </c>
      <c r="B10" s="6" t="str">
        <f>IF(COUNTIFS(BASE_CONSOLIDADA!P5:P34,"ACTIVO",BASE_CONSOLIDADA!Q5:Q34,"&lt;&gt;0")=0,"OK","ERROR")</f>
        <v>OK</v>
      </c>
      <c r="C10" s="6" t="s">
        <v>505</v>
      </c>
    </row>
    <row r="11">
      <c r="A11" s="6" t="s">
        <v>506</v>
      </c>
      <c r="B11" s="6" t="str">
        <f>IF(COUNTIFS(BASE_CONSOLIDADA!P5:P34,"RETIRADO",BASE_CONSOLIDADA!Q5:Q34,"=0")=0,"OK","ERROR")</f>
        <v>OK</v>
      </c>
      <c r="C11" s="6" t="s">
        <v>509</v>
      </c>
    </row>
    <row r="12">
      <c r="A12" s="6" t="s">
        <v>510</v>
      </c>
      <c r="B12" s="6" t="str">
        <f>IF(MIN(BASE_CONSOLIDADA!S5:S34)&gt;=0,"OK","ERROR")</f>
        <v>OK</v>
      </c>
      <c r="C12" s="6" t="s">
        <v>512</v>
      </c>
    </row>
    <row r="13">
      <c r="A13" s="6" t="s">
        <v>513</v>
      </c>
      <c r="B13" s="6" t="str">
        <f>IF(AND(MIN(BASE_CONSOLIDADA!Y5:Y34)&gt;=0,MAX(BASE_CONSOLIDADA!Y5:Y34)&lt;=100,MIN(BASE_CONSOLIDADA!Z5:AB34)&gt;=1,MAX(BASE_CONSOLIDADA!Z5:AB34)&lt;=5),"OK","ERROR")</f>
        <v>OK</v>
      </c>
      <c r="C13" s="6" t="s">
        <v>514</v>
      </c>
    </row>
    <row r="14">
      <c r="A14" s="6" t="s">
        <v>515</v>
      </c>
      <c r="B14" s="6" t="str">
        <f>IF(SUMPRODUCT(--(ABS(BASE_CONSOLIDADA!W5:W34-(BASE_CONSOLIDADA!S5:S34+BASE_CONSOLIDADA!T5:T34+BASE_CONSOLIDADA!U5:U34+NOMINA!K5:K34))&lt;0.01))=30,"OK","ERROR")</f>
        <v>OK</v>
      </c>
      <c r="C14" s="6" t="s">
        <v>516</v>
      </c>
    </row>
    <row r="15">
      <c r="A15" s="6" t="s">
        <v>517</v>
      </c>
      <c r="B15" s="6" t="str">
        <f>IF(SUMPRODUCT(--(ABS(BASE_CONSOLIDADA!X5:X34-(BASE_CONSOLIDADA!W5:W34-BASE_CONSOLIDADA!V5:V34))&lt;0.01))=30,"OK","ERROR")</f>
        <v>OK</v>
      </c>
      <c r="C15" s="6" t="s">
        <v>518</v>
      </c>
    </row>
    <row r="16">
      <c r="A16" s="6" t="s">
        <v>519</v>
      </c>
      <c r="B16" s="6" t="str">
        <f>IF(SUMPRODUCT(--(BASE_CONSOLIDADA!AS5:AS34&gt;=0))=30,"OK","ERROR")</f>
        <v>OK</v>
      </c>
      <c r="C16" s="6" t="s">
        <v>520</v>
      </c>
    </row>
    <row r="17">
      <c r="A17" s="6" t="s">
        <v>521</v>
      </c>
      <c r="B17" s="6" t="str">
        <f>IF(MIN(BASE_CONSOLIDADA!AS5:AS34)&gt;=0,"OK","ERROR")</f>
        <v>OK</v>
      </c>
      <c r="C17" s="6" t="s">
        <v>522</v>
      </c>
    </row>
    <row r="18">
      <c r="A18" s="6" t="s">
        <v>523</v>
      </c>
      <c r="B18" s="6" t="str">
        <f>IF(COUNTBLANK(BASE_CONSOLIDADA!A5:A34)=0,"OK","ERROR")</f>
        <v>OK</v>
      </c>
      <c r="C18" s="6" t="s">
        <v>524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conditionalFormatting sqref="B4:B17">
    <cfRule type="expression" dxfId="0" priority="1">
      <formula>B4="ERROR"</formula>
    </cfRule>
  </conditionalFormatting>
  <conditionalFormatting sqref="B4:B17">
    <cfRule type="expression" dxfId="1" priority="2">
      <formula>B4="OK"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2026-09-09T13:00:28Z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